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petsmart.sharepoint.com/sites/ISPM/SCAI/Shared Documents/MDS Optimization - Tredence/1 - Discovery/Data Model/"/>
    </mc:Choice>
  </mc:AlternateContent>
  <xr:revisionPtr revIDLastSave="3807" documentId="8_{A5A2F763-DE69-49EE-A584-1712696D02B3}" xr6:coauthVersionLast="47" xr6:coauthVersionMax="47" xr10:uidLastSave="{4AD8C544-FB93-4567-9FA6-3A4494515984}"/>
  <bookViews>
    <workbookView xWindow="-28920" yWindow="-120" windowWidth="29040" windowHeight="15720" firstSheet="5" activeTab="5" xr2:uid="{340C7A3F-1DB9-4539-A52F-359B688876C7}"/>
  </bookViews>
  <sheets>
    <sheet name="Analysis Overall Status" sheetId="3" r:id="rId1"/>
    <sheet name="Data Discovery Analysis" sheetId="1" r:id="rId2"/>
    <sheet name="DDStoreSvcsHRSiteRE team fields" sheetId="2" r:id="rId3"/>
    <sheet name="DDMerchPB team fields" sheetId="4" r:id="rId4"/>
    <sheet name="DC Schedule fields" sheetId="6" r:id="rId5"/>
    <sheet name="Consolidated Datasets" sheetId="5" r:id="rId6"/>
    <sheet name="Questions for Tredence - design" sheetId="7" r:id="rId7"/>
  </sheets>
  <definedNames>
    <definedName name="_xlnm._FilterDatabase" localSheetId="2" hidden="1">'DDStoreSvcsHRSiteRE team fields'!$A$1:$N$16</definedName>
    <definedName name="_xlnm._FilterDatabase" localSheetId="1" hidden="1">'Data Discovery Analysis'!$A$1:$M$136</definedName>
    <definedName name="_xlnm._FilterDatabase" localSheetId="5" hidden="1">'Consolidated Datasets'!$A$1:$N$207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 i="3" l="1"/>
  <c r="C4" i="3"/>
  <c r="C5" i="3"/>
  <c r="C6" i="3"/>
  <c r="C7" i="3"/>
  <c r="C8" i="3"/>
  <c r="C2" i="3"/>
  <c r="J78" i="1" l="1"/>
</calcChain>
</file>

<file path=xl/sharedStrings.xml><?xml version="1.0" encoding="utf-8"?>
<sst xmlns="http://schemas.openxmlformats.org/spreadsheetml/2006/main" count="3141" uniqueCount="826">
  <si>
    <t>Field Status</t>
  </si>
  <si>
    <t>Number of Fields</t>
  </si>
  <si>
    <t>Percentage</t>
  </si>
  <si>
    <t>Exists in Databricks</t>
  </si>
  <si>
    <t>Exists in a different source, not in Databricks</t>
  </si>
  <si>
    <t>Needs review with Merch team</t>
  </si>
  <si>
    <t>Needs review with Stores team</t>
  </si>
  <si>
    <t>Needs review with Supply Chain team</t>
  </si>
  <si>
    <t>Needs review with Tredence</t>
  </si>
  <si>
    <t>Out of scope</t>
  </si>
  <si>
    <t>Field</t>
  </si>
  <si>
    <t>Field description</t>
  </si>
  <si>
    <t>Solution name</t>
  </si>
  <si>
    <t>Dataset name</t>
  </si>
  <si>
    <t>Databricks Table/Source</t>
  </si>
  <si>
    <t>Databricks Column/Source Field</t>
  </si>
  <si>
    <t>Filter criteria</t>
  </si>
  <si>
    <t>Databricks value example</t>
  </si>
  <si>
    <t>Possible DD/DT team owner</t>
  </si>
  <si>
    <t>Comments/Questions</t>
  </si>
  <si>
    <t>SC Comments/Questions</t>
  </si>
  <si>
    <t>Links</t>
  </si>
  <si>
    <t xml:space="preserve">Adal/Gabby/Jessica review comments </t>
  </si>
  <si>
    <t>store_id</t>
  </si>
  <si>
    <t>S3 - Store Timeslot Optimization Engine
S1 - Delivery Frequency Policy Optimization
S2 - Weekly Calendar Recommendation Engine</t>
  </si>
  <si>
    <t>S3 - #3 Regulatory constraints
S1 - #1 Store weekly sales volume
S1 - #2 Store physical capacity parameters
S1 - #3 Delivery cost model (per trip)
S1 - #5 Store tier / cluster master
S1 - #6 DC-to-store network mapping
S1 - #7 Historical delivery frequency actuals
S2 - #1 Frequency policy output (S1 output)
S2 - #2 Store receiving availability by day-of-week
S2 - #6 Store traffic pattern by day-of-week
S2 - #9 Current delivery day baseline
S2 - #10 Perishable &amp; live animal delivery day constraints
S2 - #11 Direct Store Delivery (DSD) schedule
S3 - #1 Weekly calendar output (S2 output)
S3 - #2 Store receiving window (hourly)
S3 - #4 Drive time matrix (time-of-day aware)
S3 - #6 Historical delivery dwell times
S3 - #8 Store intra-day customer traffic
S3 - #10 Third-party carrier constraints
S3 - #11 Perishable &amp; live animal arrival window constraints
S3 - #12 Refrigerated dock door &amp; cold-chain equipment availability</t>
  </si>
  <si>
    <t>prod.enterprise.site_master_vw</t>
  </si>
  <si>
    <t>site_id</t>
  </si>
  <si>
    <t>WHERE location_type_id = 8 AND site_open_close_ind = 'O'
-- location_type_desc is "Store" for this id.</t>
  </si>
  <si>
    <t>DDStoreSvcsHRSiteRE</t>
  </si>
  <si>
    <t>dc_id</t>
  </si>
  <si>
    <t>S1 - Delivery Frequency Policy Optimization
S2 - Weekly Calendar Recommendation Engine
S3 - Store Timeslot Optimization Engine</t>
  </si>
  <si>
    <t>S1 - #3 Delivery cost model (per trip)
S1 - #6 DC-to-store network mapping
S1 - #11 DC inventory fill rate history
S2 - #3 DC dispatch capacity by day-of-week
S3 - #1 Weekly calendar output (S2 output)
S3 - #4 Drive time matrix (time-of-day aware)
S3 - #5 DC outbound dock schedule (hourly)</t>
  </si>
  <si>
    <t xml:space="preserve">WHERE location_type_id in (1, 3) AND site_open_close_ind = 'O'
-- location_type_desc is "DC Std" and "FDC" for these ids. </t>
  </si>
  <si>
    <t>category_id</t>
  </si>
  <si>
    <t>S1 - #1 Store weekly sales volume
S1 - #4 Inventory holding cost norms
S1 - #8 Seasonal demand index
S1 - #10 Perishable &amp; live animal category flags
S1 - #11 DC inventory fill rate history
S2 - #10 Perishable &amp; live animal delivery day constraints
S3 - #11 Perishable &amp; live animal arrival window constraints</t>
  </si>
  <si>
    <t>prod.enterprise.item_master_vw</t>
  </si>
  <si>
    <t>DDMerchPB</t>
  </si>
  <si>
    <t>Needs review - might need to be splitted into multiple diff definitions</t>
  </si>
  <si>
    <t>store_tier</t>
  </si>
  <si>
    <t>S1 - Delivery Frequency Policy Optimization
S2 - Weekly Calendar Recommendation Engine</t>
  </si>
  <si>
    <t>S1 - #4 Inventory holding cost norms
S1 - #5 Store tier / cluster master
S1 - #9 Promotional calendar (aggregate)
S2 - #1 Frequency policy output (S1 output)</t>
  </si>
  <si>
    <t>prod.refine.udf_usr_hr_store_sales_tier / prod.refine.udf_usr_alt1_tier</t>
  </si>
  <si>
    <t>tier_id / alt1_tier_id</t>
  </si>
  <si>
    <t>Needs review - we need to validate if the "sales" tier is the correct grouping for tiers. For example using prod.refine.udf_usr_alt1_tier instead (if diff).</t>
  </si>
  <si>
    <t>route_id</t>
  </si>
  <si>
    <t>S1 - #3 Delivery cost model (per trip)
S2 - #4 Route master and day-of-week eligibility
S2 - #8 Day-of-week delivery cost index
S3 - #1 Weekly calendar output (S2 output)
S3 - #5 DC outbound dock schedule (hourly)
S3 - #9 Vehicle load plan</t>
  </si>
  <si>
    <t xml:space="preserve">If referring to routes as actually ran:
EDW_PRD.PRESENTATION.SCM_SHIPMENT
</t>
  </si>
  <si>
    <t>SHIPMENT_ID</t>
  </si>
  <si>
    <t>If looking at past data, SCM_SHIPMENT_STATUS_ID should be '4' or 'DELIVERED' for SCM_SHIPMENT_STATUS_DESC</t>
  </si>
  <si>
    <t>DDOmniSC</t>
  </si>
  <si>
    <t>Do we have pre-defined routes that batch stores together? Or is it something we would need to create ourselves based on UF data?'</t>
  </si>
  <si>
    <t>Answers in E6:G6 based on Snowflake nomenclature
If referring to static routes based on the question in J, we currently only have static routes for fish. Those are found in the UF RPA</t>
  </si>
  <si>
    <t>Needs review - if only FISH is available we need a source for the rest of merch.</t>
  </si>
  <si>
    <t>vehicle_id</t>
  </si>
  <si>
    <t>S2 - Weekly Calendar Recommendation Engine</t>
  </si>
  <si>
    <t>S2 - #5 Driver and fleet availability by day-of-week</t>
  </si>
  <si>
    <t>Maybe:
edw_prd.presentation.wm_orders or edw_prd.presentation.wm_shipment</t>
  </si>
  <si>
    <t>Maybe:
wm_dsg_equipment_id,
wm_dsg_tractor_equipment_id,
wm_dsg_trailer_nbr
wm_trailer_number</t>
  </si>
  <si>
    <t>Returns null for recent shipments</t>
  </si>
  <si>
    <t>As UF currently manages the freight assignment (vehicles + drivers), is this something we can pull from UF?
Answers in E7:G7 based on Snowflake nomenclature; data likely needed from Uber MacroPoint</t>
  </si>
  <si>
    <t>Needs review - the proposed values seem to equipment internal to the DCs instead of freight.</t>
  </si>
  <si>
    <t>driver_id</t>
  </si>
  <si>
    <t>S2 - Weekly Calendar Recommendation Engine
S3 - Store Timeslot Optimization Engine</t>
  </si>
  <si>
    <t>S2 - #5 Driver and fleet availability by day-of-week
S3 - #7 Driver hours-of-service (HOS) logs</t>
  </si>
  <si>
    <t>Maybe:
edw_prd.presentation.wm_orders</t>
  </si>
  <si>
    <t>Maybe:
wm_driver_type_id</t>
  </si>
  <si>
    <t>As UF currently manages the freight assignment (vehicles + drivers), is this something we can pull from UF?
Answers in E8:G8 based on Snowflake nomenclature; data likely needed from Uber MacroPoint</t>
  </si>
  <si>
    <t>Needs review - the proposed value seems like a license type instead.</t>
  </si>
  <si>
    <t>date</t>
  </si>
  <si>
    <t>S2 - #7 Public holiday and store closure calendar
S3 - #2 Store receiving window (hourly)
S3 - #5 DC outbound dock schedule (hourly)
S3 - #7 Driver hours-of-service (HOS) logs
S3 - #10 Third-party carrier constraints</t>
  </si>
  <si>
    <t>prod.enterprise.days</t>
  </si>
  <si>
    <t>day_dt</t>
  </si>
  <si>
    <t>Overall date handling data on Databricks. This is an addition to any datetime data specific to other fields in the specific datasets.</t>
  </si>
  <si>
    <t>'date' covers a wide range and is very situational. In general, most SC reporting is based on pickup date 
S2 - #7 &amp; S3 - #2 answered below?
S3 - #5 docks are open whenever DCs are open, DCs manage dock assignments day by day. Also varies based on OB vs. IB drop vs. IB live. Jason Diaz may be able to source a manual list of this. Maybe out of scope?
S3 - #7 carriers expected to manage, no known data source, out of scope?
S3 - #10 carriers expected to have 100% tender acceptance for awarded lanes, out of scope?</t>
  </si>
  <si>
    <t>Needs review - We need to split by dataset to define specifics.</t>
  </si>
  <si>
    <t>S2 - #7 Public holiday and store closure calendar
S3 - #2 Store receiving window (hourly)</t>
  </si>
  <si>
    <t>prod.enterprise.site_master_locator / prod.enterprise.digital_order_site_hrs_day</t>
  </si>
  <si>
    <t>DDStoreSvcsHRSiteRE / DDOmniSC</t>
  </si>
  <si>
    <t>Date handling based on siter_master data. Only to be used in the store datasets.</t>
  </si>
  <si>
    <t>load_id</t>
  </si>
  <si>
    <t>S3 - Store Timeslot Optimization Engine</t>
  </si>
  <si>
    <t>S3 - #9 Vehicle load plan</t>
  </si>
  <si>
    <t>prod.refine.uf_load</t>
  </si>
  <si>
    <t>me_id</t>
  </si>
  <si>
    <t>carrier_id</t>
  </si>
  <si>
    <t>S3 - #10 Third-party carrier constraints</t>
  </si>
  <si>
    <t>prod.refine.uf_carrier_detail</t>
  </si>
  <si>
    <t>id / scac</t>
  </si>
  <si>
    <t>backroom_sqft</t>
  </si>
  <si>
    <t>S1 - Delivery Frequency Policy Optimization</t>
  </si>
  <si>
    <t>S1 - #2 Store physical capacity parameters</t>
  </si>
  <si>
    <t>prod.legacy.location_area</t>
  </si>
  <si>
    <t>sq_ft_amt</t>
  </si>
  <si>
    <t>We need to validate if there is a specific AREA_ID for the backroom area. Or summing up multiple fields will provide answer.</t>
  </si>
  <si>
    <t>Store ops has this info, but existing data known to be innaccurate. Can be determined manually, but very intensive. Contact Kriss LeBlond for more info</t>
  </si>
  <si>
    <t>Needs review - with DDStoreSvcsHRSiteRE team.</t>
  </si>
  <si>
    <t>week</t>
  </si>
  <si>
    <t>S1 - #1 Store weekly sales volume
S1 - #7 Historical delivery frequency actuals
S1 - #11 DC inventory fill rate history</t>
  </si>
  <si>
    <t>cal_wk_nbr</t>
  </si>
  <si>
    <t>Overall date handling data on Databricks</t>
  </si>
  <si>
    <t>month</t>
  </si>
  <si>
    <t>S1 - #8 Seasonal demand index
S1 - #9 Promotional calendar (aggregate)</t>
  </si>
  <si>
    <t>cal_mo_nbr</t>
  </si>
  <si>
    <t>perishable_flag</t>
  </si>
  <si>
    <t>S1 - #10 Perishable &amp; live animal category flags
S2 - #10 Perishable &amp; live animal delivery day constraints
S3 - #11 Perishable &amp; live animal arrival window constraints</t>
  </si>
  <si>
    <t>prod.refine.fmf_shipment_plan / prod.enterprise.item_master_vw</t>
  </si>
  <si>
    <t>commodity / department id / product family id</t>
  </si>
  <si>
    <t>DDMerchPB / DDOmniSC</t>
  </si>
  <si>
    <t>It might be another source from Merch to pull this data as well.</t>
  </si>
  <si>
    <t>If fish shipments are in scope, this should be in scope. Fish have a max bag time from pick of 72 hours, with 48 hours preferable</t>
  </si>
  <si>
    <t>day_of_week</t>
  </si>
  <si>
    <t>S2 - #2 Store receiving availability by day-of-week
S2 - #3 DC dispatch capacity by day-of-week
S2 - #4 Route master and day-of-week eligibility
S2 - #5 Driver and fleet availability by day-of-week
S2 - #6 Store traffic pattern by day-of-week
S2 - #8 Day-of-week delivery cost index
S2 - #9 Current delivery day baseline
S2 - #11 Direct Store Delivery (DSD) schedule
S3 - #1 Weekly calendar output (S2 output)
S3 - #8 Store intra-day customer traffic</t>
  </si>
  <si>
    <t>day_of_wk_nbr</t>
  </si>
  <si>
    <t>store_ids_on_route</t>
  </si>
  <si>
    <t>S2 - #4 Route master and day-of-week eligibility</t>
  </si>
  <si>
    <t>prod.refine.fmf_shipment_plan</t>
  </si>
  <si>
    <t>dest_id</t>
  </si>
  <si>
    <t>holiday_name</t>
  </si>
  <si>
    <t>S2 - #7 Public holiday and store closure calendar</t>
  </si>
  <si>
    <t>There is a HOLIDAY_FLAG column in prod.enterprise.days but it is true/false.
This would be static data coming from Fetch.</t>
  </si>
  <si>
    <t>The store calendar makes sense, and is used in preparing SC delivery schedules. Do not know if this exists as a data table anywhere.</t>
  </si>
  <si>
    <t>Link</t>
  </si>
  <si>
    <t>vendor_id</t>
  </si>
  <si>
    <t>S2 - #11 Direct Store Delivery (DSD) schedule</t>
  </si>
  <si>
    <t>This is going to be used to a Direct Store Delivery (DSD) schedule. Do we have deliveries from vendors (e.g. Purina, Royal Canin, etc.) going directly to stores?
DSD is not in scope.</t>
  </si>
  <si>
    <t>Out of scope for phase 1.</t>
  </si>
  <si>
    <t>address</t>
  </si>
  <si>
    <t>S3 - #3 Regulatory constraints</t>
  </si>
  <si>
    <t>address_line1</t>
  </si>
  <si>
    <t>dock_door_id</t>
  </si>
  <si>
    <t>S3 - #5 DC outbound dock schedule (hourly)
S3 - #12 Refrigerated dock door &amp; cold-chain equipment availability</t>
  </si>
  <si>
    <t>prod.refine.wm_dock_door</t>
  </si>
  <si>
    <t>wm_dock_door_id</t>
  </si>
  <si>
    <t>Use the MDS for this to check on availability</t>
  </si>
  <si>
    <t>Needs review - we need to define a single source (wm table or MDS data). If MDS we need to validate if available in Databricks.</t>
  </si>
  <si>
    <t>pallet_count_bucket</t>
  </si>
  <si>
    <t>S3 - #6 Historical delivery dwell times</t>
  </si>
  <si>
    <t>prod.refine.fmf_shipment_plan / prod.refine.fmf_shipment_status_app</t>
  </si>
  <si>
    <t>pallets / est_footprints</t>
  </si>
  <si>
    <t>hour</t>
  </si>
  <si>
    <t>S3 - #2 Store receiving window (hourly)
S3 - #5 DC outbound dock schedule (hourly)
S3 - #8 Store intra-day customer traffic</t>
  </si>
  <si>
    <t>S3 - #8 only:
EDW_PRD.PRESENTATION.SITE_TRAFFIC</t>
  </si>
  <si>
    <t>S3 - #8 only:
CUST_EXIT_CNT</t>
  </si>
  <si>
    <t>S3 - #8 only:
PERIOD_START_TSTMP, PERIOD_END_TSTMP,STORE_NBR</t>
  </si>
  <si>
    <t>I think this field would be calculated based on related data accordingly each requested dataset.</t>
  </si>
  <si>
    <t>S3 - #2 store windows live in the MDS -or- reference prod_legacy_dp_site_vend_profile_cols 1
S3 - #5 docks are open whenever DCs are open, DCs manage dock assignments day by day. Also varies based on OB vs. IB drop vs. IB live. Jason Diaz may be able to source a manual list of this. Maybe out of scope?
S3 - #8 Validated per Matt Oropeza based on 'Traffic' metric from PAW</t>
  </si>
  <si>
    <t>Needs review - split accordingly based on the diff datasets.</t>
  </si>
  <si>
    <t>truck_id</t>
  </si>
  <si>
    <t>S3 - #5 DC outbound dock schedule (hourly)
S3 - #9 Vehicle load plan</t>
  </si>
  <si>
    <t>prod.refine.uf_freight
maybe: edw_prd.presentation.wm_shipment</t>
  </si>
  <si>
    <t>freight_id
maybe: wm_trailer_number</t>
  </si>
  <si>
    <t>This value should work for S3 - #9. For S3 - #5 do we have dock door assignment per truck? How the trucks are assigned to specific dock doors?</t>
  </si>
  <si>
    <t>Might be able to correlate trailer numbers with task numbers to see which trailers are at which dock doors and when. All tractor values were null. Note that WM data does not work for Canada DCs.
Info may exist within Uber data</t>
  </si>
  <si>
    <t>Needs review - question for supply chain, how UF freights are assigned to the DC's docking schedule.</t>
  </si>
  <si>
    <t>max_pallets_receivable_per_delivery</t>
  </si>
  <si>
    <t>Is this out of scope for phase 1? If not, what is the source of this value. There is none in Databricks.</t>
  </si>
  <si>
    <t>Varies based on backroom size and racking configurations. Transportation uses general rule of 13 pallets or 10k units per delivery as the max when deciding to add a requested addtl frequency for a store if this helps as a static general rule</t>
  </si>
  <si>
    <t>Needs review - with Supply Chain team.</t>
  </si>
  <si>
    <t>holding_cost_pct_annual</t>
  </si>
  <si>
    <t>S1 - #4 Inventory holding cost norms</t>
  </si>
  <si>
    <t>Policy parameters — not live inventory positions. Who defines this? Is it stored in a diff spreadsheet outside Databricks?</t>
  </si>
  <si>
    <t>Ask SC P&amp;A, Finance, or MP&amp;A</t>
  </si>
  <si>
    <t>volume_band</t>
  </si>
  <si>
    <t>S1 - #5 Store tier / cluster master</t>
  </si>
  <si>
    <t>prod.refine.udf_usr_alt1_tier</t>
  </si>
  <si>
    <t>alt1_tier_id</t>
  </si>
  <si>
    <t>Needs review - what kind of volume are we talking here? e.g. product capacity, customer capacity. This is a Tredence question.</t>
  </si>
  <si>
    <t>primary_dc_flag</t>
  </si>
  <si>
    <t>S1 - #6 DC-to-store network mapping</t>
  </si>
  <si>
    <t>I cannot find a mapping table for which DC each store is assigned (or viceversa)</t>
  </si>
  <si>
    <t>Exists in the MDS. Depending on delivery methods, a store may have 1-3 source DCs. @Drew to add Fetch link that shows this</t>
  </si>
  <si>
    <t>Needs review - is this out of scope?</t>
  </si>
  <si>
    <t>actual_deliveries_count</t>
  </si>
  <si>
    <t>S1 - #7 Historical delivery frequency actuals</t>
  </si>
  <si>
    <t>Can this be calculated using FMF_SHIPMENT_STATUS_APP table? Or is there a log of processed deliveries?</t>
  </si>
  <si>
    <t>seasonal_index</t>
  </si>
  <si>
    <t>S1 - #8 Seasonal demand index</t>
  </si>
  <si>
    <t>seasonality_desc</t>
  </si>
  <si>
    <t>HALLOWEEN, ALL, NONE, null</t>
  </si>
  <si>
    <t xml:space="preserve">Validate with Merch if this field is the correct one. </t>
  </si>
  <si>
    <t>promo_weeks_count</t>
  </si>
  <si>
    <t>S1 - #9 Promotional calendar (aggregate)</t>
  </si>
  <si>
    <t xml:space="preserve">Unclear if we have this at a historical level. </t>
  </si>
  <si>
    <t>Not sure if data table source exists, but may be able to take from the commercial calendar (linked)</t>
  </si>
  <si>
    <t>Needs review - with DDMerchPB team.</t>
  </si>
  <si>
    <t>live_animal_flag</t>
  </si>
  <si>
    <t>S1 - #10 Perishable &amp; live animal category flags</t>
  </si>
  <si>
    <t>product family id / department id</t>
  </si>
  <si>
    <t>Unclear if there is a field, but one option would be to filter on class ids</t>
  </si>
  <si>
    <t>deliveries_per_week</t>
  </si>
  <si>
    <t>S2 - #1 Frequency policy output (S1 output)</t>
  </si>
  <si>
    <t>If this dataset input is S1 output. Is this a calculated field? Or do we need to provide it as input from another source?</t>
  </si>
  <si>
    <t>receiving_open_flag</t>
  </si>
  <si>
    <t>S2 - #2 Store receiving availability by day-of-week
S3 - #2 Store receiving window (hourly)</t>
  </si>
  <si>
    <t>prod.legacy.dp_site_vend_profile</t>
  </si>
  <si>
    <t>DEL_DAY1 through DEL_DAY7</t>
  </si>
  <si>
    <t>Might need to aggregate by vendor (and also not including vendors out of scope)</t>
  </si>
  <si>
    <t>DDStoreSvcsHRSiteRE / DDMerchPB</t>
  </si>
  <si>
    <t>Is this the correct source? The data seems keyed at the store + vendor level.</t>
  </si>
  <si>
    <t>Store windows are in the MDS</t>
  </si>
  <si>
    <t>Needs review - with DDStoreSvcsHRSiteRE / DDMerchPB team.</t>
  </si>
  <si>
    <t>max_outbound_pallets</t>
  </si>
  <si>
    <t>S2 - #3 DC dispatch capacity by day-of-week</t>
  </si>
  <si>
    <t>prod.refine.wm_facility</t>
  </si>
  <si>
    <t xml:space="preserve">MAX_PLT </t>
  </si>
  <si>
    <t xml:space="preserve">This field seems to be storing 0 for all records. We would need to figure out if this is an issue or intended. Also, we might need to find a different source for this. </t>
  </si>
  <si>
    <t>This is a function of a variety of things, DC staffing, order size, associate EP, markout rate, etc. You might be able to get to an average of this determeined via WM_TASK_DTL and WM_LABOR/LM_[various] tables</t>
  </si>
  <si>
    <t>avg_customer_transactions</t>
  </si>
  <si>
    <t>S2 - #6 Store traffic pattern by day-of-week</t>
  </si>
  <si>
    <t>prod.legacy.sales_trans_sku</t>
  </si>
  <si>
    <t>COUNT(SALES_INSTANCE_ID)</t>
  </si>
  <si>
    <t>WHERE ORDER_FULFILLMENT_CHANNEL &lt;&gt; "STH"</t>
  </si>
  <si>
    <t>DDSalesFinLPA</t>
  </si>
  <si>
    <t xml:space="preserve">This value can be calculated based on the Store sales and group by the day of the week and aggregated by Store. </t>
  </si>
  <si>
    <t>store_closed_flag</t>
  </si>
  <si>
    <t>This would be static data coming from Fetch.</t>
  </si>
  <si>
    <t>Not sure if data table source exists. See store hours calendar (linked)</t>
  </si>
  <si>
    <t>Needs review - Follow up with Tredence if this is an only 1 time upload or still needs to be present in Databricks.</t>
  </si>
  <si>
    <t>cost_index</t>
  </si>
  <si>
    <t>S2 - #8 Day-of-week delivery cost index</t>
  </si>
  <si>
    <t>Maybe: edw_prd.presentation.scm_shipment</t>
  </si>
  <si>
    <t>Maybe: SHIPMENT_ID, SHIP_TOTAL_COST, SHIP_DELIVERY_START_TSTMP</t>
  </si>
  <si>
    <t>May need to sort on OB/IB, mode, shipment status, etc. depending on what is being looked for.</t>
  </si>
  <si>
    <t>I don't think we have this data as we don't have pre-established routes.</t>
  </si>
  <si>
    <t>Since fish are static routes, these can be determined (although these have some assumptions built in such as all stores having replen turned on). For merch, average cost per day of week could be determined via the scm_shipment table.</t>
  </si>
  <si>
    <t>delivery_count_last_13wks</t>
  </si>
  <si>
    <t>S2 - #9 Current delivery day baseline</t>
  </si>
  <si>
    <t>prod.refine.uf_stop
prod.enterprise.site_master_vw</t>
  </si>
  <si>
    <t>COUNT(DISTINCT ME_ID)
LOCATION_EXTERNAL_ID
DAY_DT</t>
  </si>
  <si>
    <t>STOP_TYPE = 'DROPOFF'
LOCATION_TYPE_ID = 8</t>
  </si>
  <si>
    <t>I think this could be calculated looking at the number of deliveries made to each store per day of the week.</t>
  </si>
  <si>
    <t>delivery_date</t>
  </si>
  <si>
    <t>S3 - #1 Weekly calendar output (S2 output)</t>
  </si>
  <si>
    <t>city</t>
  </si>
  <si>
    <t>time_of_day_bucket</t>
  </si>
  <si>
    <t>S3 - #4 Drive time matrix (time-of-day aware)</t>
  </si>
  <si>
    <t xml:space="preserve">Maybe: EDW_PRD.PRESENTATION.SCM_SHIPMENT_STOP
</t>
  </si>
  <si>
    <t>Maybe: SHIPMENT_ID, STOP_NBR, STOP_ACTUAL_DEP_TSTMP, STOP_ACTUAL_DEP_LOCAL_TSTMP, STOP_ACTUAL_ARR_TSTMP, STOP_ACTUAL_ARR_LOCAL_TSTMP</t>
  </si>
  <si>
    <t>Based on the dataset description this field needs to be calculated or predefined (defining the buckets).</t>
  </si>
  <si>
    <t>Transportation planning general rule is 50 mph in 30 min chunks, rounding up.
Averages may be able to be determined via the scm_shipment_stop table.</t>
  </si>
  <si>
    <t>avg_unload_mins</t>
  </si>
  <si>
    <t>don't think this is something we track/think this is out of scope - UF/TMS</t>
  </si>
  <si>
    <t>Out of scope.</t>
  </si>
  <si>
    <t>hours_driven_today</t>
  </si>
  <si>
    <t>S3 - #7 Driver hours-of-service (HOS) logs</t>
  </si>
  <si>
    <t>As UF currently manages the freight assignment (vehicles + drivers), is this something we can pull from UF?</t>
  </si>
  <si>
    <t>Maybe in UF data, but likely only available via carrier</t>
  </si>
  <si>
    <t>Needs review - do we have this data? Is it in scope?</t>
  </si>
  <si>
    <t>refrigerated_flag</t>
  </si>
  <si>
    <t>S3 - #12 Refrigerated dock door &amp; cold-chain equipment availability</t>
  </si>
  <si>
    <t>Likely do not have this. Could be in the MDS.</t>
  </si>
  <si>
    <t>units_sold</t>
  </si>
  <si>
    <t>S1 - #1 Store weekly sales volume</t>
  </si>
  <si>
    <t>prod.legacy.sales_trans_sku
prod.enterprise.site_master_vw</t>
  </si>
  <si>
    <t>SALES_QTY</t>
  </si>
  <si>
    <t>WHERE sales_type_id = 1 AND LOCATION_TYPE_ID = 8</t>
  </si>
  <si>
    <t>total_shelf_capacity_cases</t>
  </si>
  <si>
    <t>Validate with Store Ops or Space Planning in MP&amp;A</t>
  </si>
  <si>
    <t>fixed_cost_per_stop</t>
  </si>
  <si>
    <t>S1 - #3 Delivery cost model (per trip)</t>
  </si>
  <si>
    <t xml:space="preserve">Maybe: edw_prd.presentation.scm_shipment, EDW_PRD.PRESENTATION.SCM_SHIPMENT_STOP
</t>
  </si>
  <si>
    <t>Maybe: SHIPMENT_ID, SHIP_TOTAL_COST, SHIP_STOP_COST, SHIP_DELIVERY_START_TSTMP, STOP_NBR</t>
  </si>
  <si>
    <t>We don't have fixed routes.</t>
  </si>
  <si>
    <t>Since fish are static routes, these can be determined (although these have some assumptions built in such as all stores having replen turned on). For merch, average cost per day of week could be determined via the scm_shipment and scm_shipment_stop tables. There are set stop charges, but this is different that cost per stop from a total cost perspective</t>
  </si>
  <si>
    <t>target_wos_min</t>
  </si>
  <si>
    <t>prod.refine.sap_assortment_logistics</t>
  </si>
  <si>
    <t>COVERAGE_TARGET_RATE</t>
  </si>
  <si>
    <t>Assuming WOS is referring to target Weeks of Supply, or the ideal number of weeks that inventory is expected to last.
Could not find this as a single data point in the data lake, so will likely need to calculate using a set of business rules, sales data, and inventory data.
Logged one field that could be used, but need further clarification. - Calculated metric from Merch 360 tables in ThoughtSpot: sum ( ( SUM(MERCH_360_INV_SALES_WK_SKU_STORE.ON_HAND_QTY) * [MERCH_360_INV_SALES_WK_SKU_STORE_1.MAP_AMT_USD] ) + ( SUM(MERCH_360_INV_SALES_WK_SKU_STORE.XFER_IN_TRANS_QTY) * [MERCH_360_INV_SALES_WK_SKU_STORE_1.MAP_AMT_USD] ) ) 
\ group_aggregate ( moving_average ( [Sales Cost] , 7 , 0 , [Fiscal Wk] ) ),  query_groups ( ) + { [Fiscal Wk] } , query_filters ( ) + { [Fiscal Wk] &gt; [Fiscal Wk] - 100 } - { [Fiscal Wk] } )</t>
  </si>
  <si>
    <t>ThoughtSpot Data Assets.xlsx</t>
  </si>
  <si>
    <t xml:space="preserve">Needs review - follow up with Supply Chain if the formula is correct (in column J or the link in column L). </t>
  </si>
  <si>
    <t>urban_suburban_rural</t>
  </si>
  <si>
    <t>Maybe: EDW_PRD.PRESENTATION.SITE_PROFILE</t>
  </si>
  <si>
    <t>Maybe: STORE_NBR, GEO_LATITUDE_NBR
GEO_LONGITUDE_NBR</t>
  </si>
  <si>
    <t>Likely do not have this. We could provide store location data for Tredence to do their own groupings.</t>
  </si>
  <si>
    <t>Could use location data lat/long vs. some 3rd party data source to determine.</t>
  </si>
  <si>
    <t>distance_miles</t>
  </si>
  <si>
    <t>S1 - Delivery Frequency Policy Optimization
S3 - Store Timeslot Optimization Engine</t>
  </si>
  <si>
    <t>S1 - #3 Delivery cost model (per trip)
S1 - #6 DC-to-store network mapping
S3 - #4 Drive time matrix (time-of-day aware)</t>
  </si>
  <si>
    <t>prod.refine.uf_load
prod.refine.uf_stop</t>
  </si>
  <si>
    <t xml:space="preserve">TOTAL_DISTANCE/TOTAL_DISTANCE_UOM
DISTANCE_TO_NEXT_POINT/DISTANCE_TO_NEXT_POINT_UOM
</t>
  </si>
  <si>
    <t>This is available for an entire shipment, and also available between the stops within a shipment. Both are listed for reference.</t>
  </si>
  <si>
    <t>avg_cases_per_delivery</t>
  </si>
  <si>
    <t>Unclear if Uber Freight has case level data. 
There are some quantity fields in the prod.refine.uf_line_item table but need clairifcation on the associated UOM codes.</t>
  </si>
  <si>
    <t>May be able to get through some join of scm_shipment, scm_shipment_stop, wm_orders, and a SKU table that containst unti/case data
Ask Celia/Katie in P&amp;A</t>
  </si>
  <si>
    <t>Needs review - is this out of scope? If in scope follow up with Tredence if this can be done with units instead.</t>
  </si>
  <si>
    <t>peak_flag</t>
  </si>
  <si>
    <t>prod.enterprise.item_master_extended
prod.enterprise.item_master_vw
prod.enterprise.days</t>
  </si>
  <si>
    <t>SEASONALITY_ID
CATEGORY_ID (or other product hierarchy ID)
DAY_DT</t>
  </si>
  <si>
    <t>Tredence is requesting this at a SKU category / month level which we do not have today. However, this could potentially be calculated using the existing fields provided. Would need to confirm with the business if these seasonal categories are something that can be rolled up to some sort of SKU hierarchy.</t>
  </si>
  <si>
    <t>Ask Katie in P&amp;A</t>
  </si>
  <si>
    <t xml:space="preserve">Needs review - follow up with Tredence / Merch how peak season is calculated and if possible with this source. </t>
  </si>
  <si>
    <t>avg_demand_uplift_pct</t>
  </si>
  <si>
    <t>Will likely need to be calculated, unless the business maintains some sort of high-level promotional calendar. Tredence is requesting this data point at a store tier / month level but was only able to find fields related to promotional demand impact at an individual SKU level (like SKU / week or SKU / event).</t>
  </si>
  <si>
    <t xml:space="preserve">Katie in P&amp;A may be able to get you a contact for this, but this feels like the asnwer would need to be sourced from someone in Merch.
Commercial calendar linked to right. </t>
  </si>
  <si>
    <t>Needs review - follow up with marketing team?</t>
  </si>
  <si>
    <t>max_days_without_replenishment</t>
  </si>
  <si>
    <t>Note this dataset is likely out of scope.</t>
  </si>
  <si>
    <t>Can be determined via the MDS. Not sure if Merch may have this more readily via Relex. Absolute max for normal schedule is 7 for merch, 14 for fish. Max does not apply to every store if frequencies are greater than 1. Max could be greater than 7 for merch or 14 for fish when implementing a schedule change.</t>
  </si>
  <si>
    <t>Needs review - with Supply Chain and/or DDMerchPB team.</t>
  </si>
  <si>
    <t>cases_ordered</t>
  </si>
  <si>
    <t>S1 - #11 DC inventory fill rate history</t>
  </si>
  <si>
    <t>prod.refine.wm_order_line_item</t>
  </si>
  <si>
    <t xml:space="preserve">ORDER_QTY
STD_PACK_QTY </t>
  </si>
  <si>
    <t>Unclear if we have this at a case level as requested, but we do have this at a SKU level.</t>
  </si>
  <si>
    <t>Katie in P&amp;A may be able to get you a contact for this, but this feels like the asnwer would need to be sourced from someone in Merch.</t>
  </si>
  <si>
    <t>Needs review - follow up with Tredence if this can be units instead of cases.</t>
  </si>
  <si>
    <t>effective_month</t>
  </si>
  <si>
    <t>N/A - Output of Solution 1</t>
  </si>
  <si>
    <t>This will be sourced from the output of Solution 1.</t>
  </si>
  <si>
    <t>receiving_start_time</t>
  </si>
  <si>
    <t>S2 - #2 Store receiving availability by day-of-week</t>
  </si>
  <si>
    <t>del_start_time_*</t>
  </si>
  <si>
    <t>Available via MDS</t>
  </si>
  <si>
    <t>Needs review - with DDStoreSvcsHRSiteRE team</t>
  </si>
  <si>
    <t>max_routes_per_day</t>
  </si>
  <si>
    <t xml:space="preserve">Maybe: edw_prd.presentation.scm_shipment
</t>
  </si>
  <si>
    <t>Maybe: shipment_id, ship_delivery_start_tstmp, ship_orig_facility_loc_id</t>
  </si>
  <si>
    <t>Likely do not have this.
Found one field in WM_WAVE_PARM table (RETAIL_MAX_ROUTES) that could maybe be used? But isn't getting set today</t>
  </si>
  <si>
    <t>No direct metric. Can get at it by doing a max function in scm_shipment by origin and pickup date</t>
  </si>
  <si>
    <t>Needs review - follow up with Supply Chain team</t>
  </si>
  <si>
    <t>eligible_flag</t>
  </si>
  <si>
    <t>Since we do not have fixed routes, I think this dataset is out of scope. Either way, UF manages the freight assignment and we do not have access to driver data today.</t>
  </si>
  <si>
    <t>available_flag</t>
  </si>
  <si>
    <t>Out of scope / also we don't have this</t>
  </si>
  <si>
    <t>peak_traffic_flag</t>
  </si>
  <si>
    <t>prod.legacy.sales_day_store_rpt</t>
  </si>
  <si>
    <t>TXN_CNT</t>
  </si>
  <si>
    <t>Need to confirm if this number includes STH txns, which should be filtered out</t>
  </si>
  <si>
    <t>Do not have an explicit flag for this but could be calculated using average sales metrics.</t>
  </si>
  <si>
    <t>dc_closed_flag</t>
  </si>
  <si>
    <t>There is a HOLIDAY_FLAG column in prod.enterprise.days but not sure how this applies to DC's specfically.
This would likely be static data coming from Fetch.</t>
  </si>
  <si>
    <t>Jason Diaz to advise on specifics, especially for Canada holidays
For U.S. DCs, there are only three days DC associates do not work, Thanksgiving, Christmas Day, and New Years Day. However, U.S. yards are open 24/7/365 for IB drops/OB pickups via 3rd party guard staff. Live IB shipments would not be processed on the three PetSmart staff DC closure days.</t>
  </si>
  <si>
    <t>Needs review - follow up with Supply Chain or DDStoreSvcsHRSiteRE if this is available somewhere else</t>
  </si>
  <si>
    <t>overtime_flag</t>
  </si>
  <si>
    <t>Tredence is requesting this at a route / day of the week level, but if we do not have fixed routes I don't think this is something we can pull today.</t>
  </si>
  <si>
    <t>pct_of_total_deliveries</t>
  </si>
  <si>
    <t>permitted_delivery_days</t>
  </si>
  <si>
    <t>S2 - #10 Perishable &amp; live animal delivery day constraints</t>
  </si>
  <si>
    <t>The only non-DSD shipments with live/perishable are fish shipments. For ride along, delivery constaints are the store windows, with Saturday deliveries being excluded from delivery eligibility (outside of special store schedules for holidays). For non-ride along fish, schedule is based on the RPA, with Saturdays and Sundays not included in these deliveries. 
For DSD deliveries, would need to reach out to Store Ops and Merch for constraints on these deliveries</t>
  </si>
  <si>
    <t>Needs review - follow up with Supply Chain</t>
  </si>
  <si>
    <t>dsd_frequency_per_week</t>
  </si>
  <si>
    <t>region</t>
  </si>
  <si>
    <t>S3 - Store Timeslot Optimization Engine
S2 - Weekly Calendar Recommendation Engine</t>
  </si>
  <si>
    <t>S3 - #3 Regulatory constraints
S2 - #7 Public holiday and store closure calendar</t>
  </si>
  <si>
    <t>region_id / region_desc</t>
  </si>
  <si>
    <t>drive_time_mins</t>
  </si>
  <si>
    <t>Likely do not have this. Looks like there is a plan to integrate with a Mapping API.</t>
  </si>
  <si>
    <t>p90_unload_mins</t>
  </si>
  <si>
    <t>cumulative_hours_7day</t>
  </si>
  <si>
    <t>Unclear on field requirement given Tredence's dataset description. My assumption is they want to determine the total number of hours a driver has worked in the last 7 days. 
As UF currently manages the freight assignment (vehicles + drivers), is this something we can pull from UF?</t>
  </si>
  <si>
    <t>Needs review - We don't have this. Also seems out of scope.</t>
  </si>
  <si>
    <t>avg_transaction_count</t>
  </si>
  <si>
    <t>S3 - #8 Store intra-day customer traffic</t>
  </si>
  <si>
    <t>total_pallets</t>
  </si>
  <si>
    <t>pallets</t>
  </si>
  <si>
    <t>sum(pallets) and group by distinct destination_id</t>
  </si>
  <si>
    <t>do we want any division between type (merch/fish/ovf)?</t>
  </si>
  <si>
    <t>available_time_windows</t>
  </si>
  <si>
    <t>del_start_time_*
del_end_time_*</t>
  </si>
  <si>
    <t>Might need to filter the vendors by 3PL</t>
  </si>
  <si>
    <t>Want more detail on how 3PLs are defined here. If inclusive of regular merch DC deliveries, constraints are delivery windows in the MDS
If this is only in reference to DSD deliveries, would need to reach out to Store Ops and Merch for constraints on these deliveries.</t>
  </si>
  <si>
    <t>earliest_permitted_arrival</t>
  </si>
  <si>
    <t>S3 - #11 Perishable &amp; live animal arrival window constraints</t>
  </si>
  <si>
    <t>Dataset out of scope for phase 1.</t>
  </si>
  <si>
    <t>The only non-DSD shipments with live/perishable are fish shipments. For ride along, delivery constaints are the store windows, with Saturday deliveries being excluded from delivery eligibility (outside of special store schedules for holidays). For non-ride along fish, schedule is based on the RPA, with Saturdays and Sundays not included in these deliveries. 
For DSD deliveries, would need to reach out to Store Ops and Merch for constraints on these deliveries
For fish windows:
Ride Along Fish deliveries - will follow store delivery window (including new Project Max windows) in the MDS
Non - Ride Along Fish deliveries(crosdock, milk run, direct) - set times known via the RPA, but no specific delivery windows. Deliveries fall within up to 2 hours before standard store open time up to store close</t>
  </si>
  <si>
    <t>Needs review - follow up with Supply Chain in case we don't have it in Databricks (Gabby is going to check)</t>
  </si>
  <si>
    <t>cold_staging_area_sqft</t>
  </si>
  <si>
    <t>cases_sold</t>
  </si>
  <si>
    <t>Out of scope, there is already a units_sold field for the same dataset and we don't handle cases.</t>
  </si>
  <si>
    <t>store_format_type</t>
  </si>
  <si>
    <t>prod.refine.udf_usr_alt1_tier / prod.enterprise.site_master_extended</t>
  </si>
  <si>
    <t>alt1_tier_id / sq_feet_total</t>
  </si>
  <si>
    <t>is this tier or layout based?</t>
  </si>
  <si>
    <t>variable_cost_per_mile</t>
  </si>
  <si>
    <t>target_wos_max</t>
  </si>
  <si>
    <t>prod.legacy.inv_instock_price_wk
prod.enterprise.weeks</t>
  </si>
  <si>
    <t>inv_instock_price_wk.on_hand_qty
inv_instock_price_wk.map_amt
inv_instock_price_wk.xfer_in_trans_qty
inv_instock_price_wk.sum_cost_amt
weeks.weeks</t>
  </si>
  <si>
    <t>see comment</t>
  </si>
  <si>
    <t>Calculated metric from Merch 360 tables in ThoughtSpot: sum ( ( SUM(MERCH_360_INV_SALES_WK_SKU_STORE.ON_HAND_QTY) * [MERCH_360_INV_SALES_WK_SKU_STORE_1.MAP_AMT_USD] ) + ( SUM(MERCH_360_INV_SALES_WK_SKU_STORE.XFER_IN_TRANS_QTY) * [MERCH_360_INV_SALES_WK_SKU_STORE_1.MAP_AMT_USD] ) ) 
\ group_aggregate ( moving_average ( SUM(MERCH_360_INV_SALES_WK_SKU_STORE.NET_SALES_COST_AMT)  , 7 , 0 , [Fiscal Wk] ) ),  query_groups ( ) + { [Fiscal Wk] } , query_filters ( ) + { [Fiscal Wk] &gt; [Fiscal Wk] - 100 } - { [Fiscal Wk] } )</t>
  </si>
  <si>
    <t>store_format</t>
  </si>
  <si>
    <t>Unclear on field requirement given Tredence's dataset description.</t>
  </si>
  <si>
    <t>transit_time_hours</t>
  </si>
  <si>
    <t>prod.refine.uf_scm_shipment_stop</t>
  </si>
  <si>
    <t>STOP_ACTUAL_DEP_TSTMP
STOP_ACTUAL_ARR_TSTMP</t>
  </si>
  <si>
    <t>total_cases_delivered</t>
  </si>
  <si>
    <t>Needs review - is this out of scope for phase 1?</t>
  </si>
  <si>
    <t>cases_per_stop</t>
  </si>
  <si>
    <t>major_event_flag</t>
  </si>
  <si>
    <t>I believe this is something that will need to be calculated if it is being requested at a Store Tier/Month level. This seems specfic to promotional activites so marking this under the Merch DD team.</t>
  </si>
  <si>
    <t>Needs review - follow up with marketing team</t>
  </si>
  <si>
    <t>temp_requirement</t>
  </si>
  <si>
    <t>For DC fish deliveries, requirement is 73F in continuous run mode for temp controlled shipments. Some fish can deliver without temp control based on seasonality.
For DSD, reach out to Merch</t>
  </si>
  <si>
    <t>cases_shipped</t>
  </si>
  <si>
    <t xml:space="preserve">SHIPPED_QTY
STD_PACK_QTY </t>
  </si>
  <si>
    <t>Celia from SC Planning can likely help here</t>
  </si>
  <si>
    <t>policy_version</t>
  </si>
  <si>
    <t>S2 - #1 Frequency policy output (S1 output)
S3 - #1 Weekly calendar output (S2 output)</t>
  </si>
  <si>
    <t>N/A - Output of Solutions 1 and 2</t>
  </si>
  <si>
    <t>This will be sourced from the output of Solution 1 and Solution 2.</t>
  </si>
  <si>
    <t>receiving_end_time</t>
  </si>
  <si>
    <t>del_end_time_*</t>
  </si>
  <si>
    <t>Store delivery windows available via MDS</t>
  </si>
  <si>
    <t>shift_pattern</t>
  </si>
  <si>
    <t>is this tracked in datalake? static and have a hard copy of schedules per DC</t>
  </si>
  <si>
    <t>We can likely get to DC dispatch capacity by day of week, but this isn't data we currently have and could change often</t>
  </si>
  <si>
    <t>We do have, but is not present in Databricks</t>
  </si>
  <si>
    <t>estimated_drive_time_hrs</t>
  </si>
  <si>
    <t>drive_time</t>
  </si>
  <si>
    <t>vehicle_type</t>
  </si>
  <si>
    <t>equipment_type</t>
  </si>
  <si>
    <t>recommended_avoid_flag</t>
  </si>
  <si>
    <t>Derived from peak_hour_flag?</t>
  </si>
  <si>
    <t>DDCustomerAnalytics</t>
  </si>
  <si>
    <t>weekend_premium_pct</t>
  </si>
  <si>
    <t>Don't think this is something we track? or would be managed by UF</t>
  </si>
  <si>
    <t>We don't have any transportation cost differentials by day for most TL, crossdock has 50% premium</t>
  </si>
  <si>
    <t>max_days_between_deliveries</t>
  </si>
  <si>
    <t>is this a field we track? or a concern from business?</t>
  </si>
  <si>
    <t>If the concern is live animal/perishable deliveries, then I think this would go to Merch and be driven by demand</t>
  </si>
  <si>
    <t>avg_dock_time_mins</t>
  </si>
  <si>
    <t>prod.refine.uf_stop</t>
  </si>
  <si>
    <t>avg( departure_datetime - arrival_datetime) / 60</t>
  </si>
  <si>
    <t>stop_type = 'dropoff'</t>
  </si>
  <si>
    <t>beleive this is also static/managed by UF (60 mins?)</t>
  </si>
  <si>
    <t>We plan a static 60minutes of unloading per store for MERCH and 30 mins for FISH. There is tracking on unloads from store data, but not sure where this lives. DSD shouldn't be going through the dock</t>
  </si>
  <si>
    <t>dock_doors_available</t>
  </si>
  <si>
    <t>S3 - #2 Store receiving window (hourly)</t>
  </si>
  <si>
    <t>think this was mentioned already that it was a no for all stores?
else, unless deliveries are vendor they typically will go through the back so i don't think this field would be required</t>
  </si>
  <si>
    <t>Check with Real Estate Team for locations with shared docks/unloading spaces</t>
  </si>
  <si>
    <t>restriction start and end time</t>
  </si>
  <si>
    <t>how does this differ from delivery window time - would want clarification from Tredence</t>
  </si>
  <si>
    <t>Similar to "start and end date of regulation" line 24
We'll need different dates and sources depending on the constraint. Noise ordinance stores are called out in the MDS. Noise ordinances are handled through delivery windows, but not all specific delivery windows are due to noise ordinances.</t>
  </si>
  <si>
    <t>is_allocated</t>
  </si>
  <si>
    <t>S3 - #5 DC outbound dock schedule (hourly)</t>
  </si>
  <si>
    <t>Maybe: wm_shipment, wm_dock_door, wm_task_dtl, wm_yard</t>
  </si>
  <si>
    <t>Might be able to correlate trailer numbers with task numbers to see which trailers are at which dock doors and when in WM_ tables. All tractor values were null. Note that WM data does not work for Canada DCs.</t>
  </si>
  <si>
    <t>p50_unload_mins</t>
  </si>
  <si>
    <t>break_required_flag</t>
  </si>
  <si>
    <t>Out of scope for phase 1. tracked/managed by UF/TMS</t>
  </si>
  <si>
    <t>peak_hour_flag</t>
  </si>
  <si>
    <t>prod.enterprise.site_traffic_mvw</t>
  </si>
  <si>
    <t>cust_entry_cnt</t>
  </si>
  <si>
    <t>ACCURACY_FLAG = 1
see note</t>
  </si>
  <si>
    <t>DDStoreSvcsHRSiteRE &amp; DDCustomerAnalytics</t>
  </si>
  <si>
    <t>would need to calculate this column for each store and by as i don't think we have this information stored already &amp; at the hourly level</t>
  </si>
  <si>
    <t>Needs review - what woul be the definition here for peak hour? Follow up with Tredence.</t>
  </si>
  <si>
    <t>total_weight_lbs</t>
  </si>
  <si>
    <t>prod.refine.uf_line_item</t>
  </si>
  <si>
    <t>weight</t>
  </si>
  <si>
    <t>Do we have a total weight? might have to match on frieght id and calc</t>
  </si>
  <si>
    <t>blackout_hours</t>
  </si>
  <si>
    <t>&lt;= del_start_time_* &amp; &gt;= del_end_tim_*</t>
  </si>
  <si>
    <t>It appears S3 - #10 is related to the concern that DSD will deliver at the same time as TL deliveries tying up the dock. I think all DSD is delivered through the front. We still might have blackout hours based on store hours and associate availability.</t>
  </si>
  <si>
    <t>latest_permitted_arrival</t>
  </si>
  <si>
    <t>think this would fall under the delivery window field? clarify w/ tredence</t>
  </si>
  <si>
    <t>I believe this relates only to fish deliveries. However, all other deliveries are typically between 2 hours before open to 2 hours before close. For fish:
Ride Along Fish deliveries - will follow store delivery window (including new Project Max windows) in the MDS
Non - Ride Along Fish deliveries(crosdock, milk run, direct) - set times known via the RPA, but no specific delivery windows. Deliveries fall within up to 2 hours before standard store open time up to store close</t>
  </si>
  <si>
    <t>powered_pallet_jack_available</t>
  </si>
  <si>
    <t>don't think this is something we track? also this dataset is out of scope</t>
  </si>
  <si>
    <t>Agree with out of scope</t>
  </si>
  <si>
    <t>revenue</t>
  </si>
  <si>
    <t>net_sales_amt</t>
  </si>
  <si>
    <t>WHERE sales_type_id = 1</t>
  </si>
  <si>
    <t>stockout_cost_per_case</t>
  </si>
  <si>
    <t>is this something we track?</t>
  </si>
  <si>
    <t>Are we looking for this at the product category level? If so, this is something Merch would prob have to provide.</t>
  </si>
  <si>
    <t>Needs review - with DDMerchPB team</t>
  </si>
  <si>
    <t>sq_ft</t>
  </si>
  <si>
    <t>prod.enterprise.site_master_extended</t>
  </si>
  <si>
    <t>sq_feet_retail
sq_feet_total</t>
  </si>
  <si>
    <t>Need to clarify if total or retail space only</t>
  </si>
  <si>
    <t>Check with Real Estate Team</t>
  </si>
  <si>
    <t>Needs review - with Tredence to clarify field details</t>
  </si>
  <si>
    <t>delivery_route_id</t>
  </si>
  <si>
    <t>This is asking for set delivery routes from DC to Stores which we do not plan or track. this would also be out of scope i beleive</t>
  </si>
  <si>
    <t>The only static routes we have right now are fish and we would like to have those as part of the optimization. We don't know of any field like this at the moment.
This can be built based on PC Miler  distance for all functional origin/destination pairs but we do not know of a table where that exists for the entirety of our network.</t>
  </si>
  <si>
    <t>Needs review - with Supply Chain to determine source where this can be pulled from</t>
  </si>
  <si>
    <t>on_time_pct</t>
  </si>
  <si>
    <t>prod.refine.uf_scm_shipment_stop
prod.refine.uf_check_call
prod.refine.fmf_shipment_status_app</t>
  </si>
  <si>
    <t>stop_actual_arr_tstmp
orig_stop_arr_eta_tstmp</t>
  </si>
  <si>
    <t>scm_stop_type_cd = 'DL' -- delievery stops
stop_actual_arr_tstmp is not null
orig_stop_arr_eta_tstmp is not null</t>
  </si>
  <si>
    <t>this would be a calculated field</t>
  </si>
  <si>
    <t>min_delivery_freq_days</t>
  </si>
  <si>
    <t>according to zach/adam's comments this could be the same as perishable_flag, would want clarification from tredence</t>
  </si>
  <si>
    <t>Fish are the only thing delivered from the DC that need temperature control. Anything thing else would be delivered DSD</t>
  </si>
  <si>
    <t>Needs review - with Supply Chain to determine if this is an existing field</t>
  </si>
  <si>
    <t>fill_rate_pct</t>
  </si>
  <si>
    <t>prod.legacy.store_fill_rate</t>
  </si>
  <si>
    <t>wm_shipped_qty / wm_demand_qty</t>
  </si>
  <si>
    <t>Needs review - with Celia to confirm provided fields</t>
  </si>
  <si>
    <t>max_pallets_per_day</t>
  </si>
  <si>
    <t>prod.refine.wm_c_tms_plan</t>
  </si>
  <si>
    <t>num_pallets</t>
  </si>
  <si>
    <t>max(sum(pallets))</t>
  </si>
  <si>
    <t>This looks like we're looking for the store's daily capactity to receive pallets. This is mainly driven by time and associate availability and would require information from Store Ops.</t>
  </si>
  <si>
    <t>Needs review - with DDStoreSvcsHRSiteRE</t>
  </si>
  <si>
    <t>blackout_day_flag</t>
  </si>
  <si>
    <t>Don't think this is tracked in Datalake</t>
  </si>
  <si>
    <t>Check with Jason Diaz on DC's regular and holiday hours.</t>
  </si>
  <si>
    <t xml:space="preserve">Needs review - with Jason Diaz </t>
  </si>
  <si>
    <t>stops_count</t>
  </si>
  <si>
    <t>S2 - #4 Route master and day-of-week eligibility
S3 - #9 Vehicle load plan</t>
  </si>
  <si>
    <t>number_intermediate_stops</t>
  </si>
  <si>
    <t>capacity_pallets</t>
  </si>
  <si>
    <t>This is managed within TMS (UF) by SRG &amp; not tracked by our team - need to double check</t>
  </si>
  <si>
    <t>We expect 100% tender accceptance and driver and equipment to be managed by carrier</t>
  </si>
  <si>
    <t>reduced_hours_flag</t>
  </si>
  <si>
    <t xml:space="preserve">would this be the same as the holiday flag field? </t>
  </si>
  <si>
    <t>Can we use the "2026 Store Hours of Operation" link?</t>
  </si>
  <si>
    <t>Needs review - with Jason Diaz.
Note that the reduced hours flag and store closure flag will differ between US and CA stores. Also likely between stores and DC's.</t>
  </si>
  <si>
    <t>temp_sensitive_flag</t>
  </si>
  <si>
    <t>Maybe:
edw_prd.presentation.wm_orders or edw_prd.presentation.wm_shipment
Should be prod.enterprise.item_master_vw</t>
  </si>
  <si>
    <t>something related to "product class"</t>
  </si>
  <si>
    <t>Do not think there is a field actively in use in datalake
Would only be in scope for Fish</t>
  </si>
  <si>
    <t>We should be able to use product class (ie Merch, Fish, Mixed) but I'm not sure which table this lives in</t>
  </si>
  <si>
    <t>avg_pallets_per_visit</t>
  </si>
  <si>
    <t>sum(pallets) / distinct (store)</t>
  </si>
  <si>
    <t xml:space="preserve">this dataset is out of scope for phase 1 </t>
  </si>
  <si>
    <t>estimated_cases</t>
  </si>
  <si>
    <t>Output from solution 2, assuming data requirements are met.
Note for Tredence - we don't track in cases so this will likely need to be units instead.</t>
  </si>
  <si>
    <t>staff_count_receiving</t>
  </si>
  <si>
    <t>Can store Ops provide?</t>
  </si>
  <si>
    <t>start and end date of regulation</t>
  </si>
  <si>
    <t>Can we ask Tredence for more info? It seems like we'll need different dates and sources depending on the constraint.</t>
  </si>
  <si>
    <t>traffic_index</t>
  </si>
  <si>
    <t>This is managed within TMS (UF) &amp; not tracked by our team - need to double check on out of scope</t>
  </si>
  <si>
    <t>Does UF have anything like this? Can a matrix get created from historical data?
As a default, Transportation uses a default rule of 50 mph in 30 minute chunks, rounding up.</t>
  </si>
  <si>
    <t>crew_size</t>
  </si>
  <si>
    <t>This seems like TMS/UF - Out of Scope?</t>
  </si>
  <si>
    <t>I'm not sure if we have this information, but it might not be needed for dwell times as we plan 60minutes of unloading per store for MERCH and 30 mins for FISH.
Store Ops may have more details on unload team size and labor hour allocations based on store volume.</t>
  </si>
  <si>
    <t>Needs review - is this out of scope? if not, review with DDStoreSvcsHRSiteRE team</t>
  </si>
  <si>
    <t>available_start_time</t>
  </si>
  <si>
    <t>pickup_cutoff_time</t>
  </si>
  <si>
    <t>prod.refine.uf_freight</t>
  </si>
  <si>
    <t>must_ship_by_datetime</t>
  </si>
  <si>
    <t>If this references the last time a DC pickup can be made to make a store delivery window, there is not a technical cutoff time. Carriers are given a pickup time (DDT) with sufficient hours to be able to make the store's assigned delivery and U.S. yards are open 24/7/365. We do not care when a carrier picks up as long as they make store delivery on time.</t>
  </si>
  <si>
    <t>max_ambient_temp_c</t>
  </si>
  <si>
    <t>would only be used for Fish, but don't see anything in datalake</t>
  </si>
  <si>
    <t>If fish shipments are in scope, this should be in scope. Fish have a max bag time from pick of 72 hours, with 48 hours preferable. Reefer temps should be set to 73F in continuous run.
Store fish deliveries may be outside of the store's default merch delivery window and varies by specific route. This is shown in the RPA</t>
  </si>
  <si>
    <t>Sounds like a static value of 73F for fish.</t>
  </si>
  <si>
    <t>max_cold_pallets_simultaneous</t>
  </si>
  <si>
    <t>avg_trip_cost</t>
  </si>
  <si>
    <t>prod.refine.uf_scm_shipment</t>
  </si>
  <si>
    <t>ship_total_cost</t>
  </si>
  <si>
    <t>This would have to be a calculated field, we only track indivdual trip costs</t>
  </si>
  <si>
    <t>avg_weekly_cases</t>
  </si>
  <si>
    <t>prod.refine.uf_line_item
prod.refine.wm_order_line_item</t>
  </si>
  <si>
    <t>Not tracked - units only</t>
  </si>
  <si>
    <t>Needs review - with Celia to provide avg_weekly_units</t>
  </si>
  <si>
    <t>chronic_oos_flag</t>
  </si>
  <si>
    <t>prod.enterprise.item_master_attr</t>
  </si>
  <si>
    <t>longterm_oos_cd</t>
  </si>
  <si>
    <t>delete_ind &lt;&gt; 1</t>
  </si>
  <si>
    <t>I believe merch would have more information. Try Shondreka Perry from Merch Analytics and Allocation team.</t>
  </si>
  <si>
    <t>staff_available_flag</t>
  </si>
  <si>
    <t>cold_chain_required_flag</t>
  </si>
  <si>
    <t>S2 - #10 Perishable &amp; live animal delivery day constraints
S3 - #11 Perishable &amp; live animal arrival window constraints</t>
  </si>
  <si>
    <t>This would only be used for fish.</t>
  </si>
  <si>
    <t>Assuming this would be static for fish.</t>
  </si>
  <si>
    <t>delivery_sequence</t>
  </si>
  <si>
    <t>stop_sequence_number</t>
  </si>
  <si>
    <t>DDStoreSvcsHRSiteRE comments</t>
  </si>
  <si>
    <t>Joe, Matt, Praney and Vibhatha met with Katherine Little, and here are the comments for all the below fields based on the conversation - 
Katherine suggested the only way the team has fetched the information for backroom sq footage is by possibly calculating total sq. footage - Total Merch Space, leveraging the document on Fetch.
This is not really stored in any tables</t>
  </si>
  <si>
    <t>Datalake table name: prod.enterprise.site_master_locator, column name: Store_Hours_Desc. This table contains only about 2 weeks of data.
Store locator SQL server DB is the original source of data. Store related table: storeHoursMerge, Column Name: Description
Services related table: StoreServiceHoursMerge, Column Name: Description</t>
  </si>
  <si>
    <t>Not stored in any tables/ Datalake tables. You might want to have a conversation with transportation group &amp; supply chain group, on delivery frequencies and a possible chart for stores.</t>
  </si>
  <si>
    <t>The information on whether a DC is open or closed for business is input by Katherine Little. This information is available in site_profile table in Datalake. However, this is not a day_dt level data.</t>
  </si>
  <si>
    <t>Not stored in any tables/ Datalake tables.</t>
  </si>
  <si>
    <t>Not stored in any tables/ Datalake tables. You might want to have a conversation with transportation group &amp; supply chain group</t>
  </si>
  <si>
    <t>Supply chain team can help on this</t>
  </si>
  <si>
    <t>We have only for Stores in store locator . Dc is difficult to capture .(Not sure)</t>
  </si>
  <si>
    <t>Not Sure on this. Will check in UKG</t>
  </si>
  <si>
    <t>We dont have this information . Check with Labor apps team if they store this information or not.</t>
  </si>
  <si>
    <t>cal</t>
  </si>
  <si>
    <t>DDMerchPB comments</t>
  </si>
  <si>
    <t>Can be determined via the MDS. Not sure if Merch may have this more readily via Relex.</t>
  </si>
  <si>
    <t>Dataset Name</t>
  </si>
  <si>
    <t>Dataset Analytical Usage</t>
  </si>
  <si>
    <t>Example Value</t>
  </si>
  <si>
    <t>Solution #2 - Weekly Calendar Recommendation Engine
Dataset #3 - DC dispatch capacity by day-of-week</t>
  </si>
  <si>
    <t>DC-side dispatch capacity per day. Prevents over-scheduling outbound volume on days the DC cannot handle it. Required to balance workload across the week at the DC level.</t>
  </si>
  <si>
    <t>DC10</t>
  </si>
  <si>
    <t>Monday</t>
  </si>
  <si>
    <t>1-shift</t>
  </si>
  <si>
    <t>N</t>
  </si>
  <si>
    <t>Solution #2 - Weekly Calendar Recommendation Engine
Dataset #7 - Public holiday and store closure calendar</t>
  </si>
  <si>
    <t>Blocks delivery assignments on days when stores or DCs are closed. Also used to shift adjacent-day deliveries when a mid-week holiday interrupts a standard 3× or 5× pattern.</t>
  </si>
  <si>
    <t>Solution #2 - Weekly Calendar Recommendation Engine
Dataset #7 - Public holiday and store closure calendar</t>
  </si>
  <si>
    <t>Independence Day</t>
  </si>
  <si>
    <t>Y</t>
  </si>
  <si>
    <t>Northeast</t>
  </si>
  <si>
    <t>Solution</t>
  </si>
  <si>
    <t>Priority</t>
  </si>
  <si>
    <t>PetSmart Data Source</t>
  </si>
  <si>
    <t>Source/Table</t>
  </si>
  <si>
    <t>Source Field/Column</t>
  </si>
  <si>
    <t>SQL Filters and conditions</t>
  </si>
  <si>
    <t>Comments</t>
  </si>
  <si>
    <t>Related Teams</t>
  </si>
  <si>
    <t>Design sessions comments</t>
  </si>
  <si>
    <t>Undetermined fields status (Pending, Completed)</t>
  </si>
  <si>
    <t xml:space="preserve">Assignee </t>
  </si>
  <si>
    <t>Critical</t>
  </si>
  <si>
    <t>Databricks</t>
  </si>
  <si>
    <t>WHERE location_type_id = 8 AND site_open_close_ind = 'O'
-- location_type_desc is "Store" for this id.</t>
  </si>
  <si>
    <t>Adal</t>
  </si>
  <si>
    <t>JOIN prod.legacy.sales_trans_sku ON day_dt
-- both tables have day_dt field.</t>
  </si>
  <si>
    <t>sales_qty</t>
  </si>
  <si>
    <t xml:space="preserve">WHERE sales_type_id = 1 -- actual sales instead of pulling returns, voids, etc. </t>
  </si>
  <si>
    <t>prod.legacy.sku_case_dim</t>
  </si>
  <si>
    <t>case_unit_cnt</t>
  </si>
  <si>
    <t xml:space="preserve">Validate with Sales this value is correct. </t>
  </si>
  <si>
    <t>Merch Ops
Email Darren Black</t>
  </si>
  <si>
    <t>Darren comments: With Cases sold that would have to be calculated at the SKU or Product ID level and then rolled up based on the reporting structure. Units Sold is a standard metric to use in the calculation. If case_unit_cnt give the number of items per case then this could be used to calculate Cases Sold.</t>
  </si>
  <si>
    <t>Completed</t>
  </si>
  <si>
    <t>Gabby</t>
  </si>
  <si>
    <t>Undetermined</t>
  </si>
  <si>
    <r>
      <rPr>
        <sz val="11"/>
        <color rgb="FF000000"/>
        <rFont val="Aptos Narrow"/>
      </rPr>
      <t xml:space="preserve">Katherine Little suggested by possibly calculating "Total Sq. Footage" - "Total Merch Space". </t>
    </r>
    <r>
      <rPr>
        <strike/>
        <sz val="11"/>
        <color rgb="FF000000"/>
        <rFont val="Aptos Narrow"/>
      </rPr>
      <t>Contact Kriss LeBlond for more info.</t>
    </r>
    <r>
      <rPr>
        <sz val="11"/>
        <color rgb="FF000000"/>
        <rFont val="Aptos Narrow"/>
      </rPr>
      <t xml:space="preserve">  
Kriss LeBlond: Hello, I dont have access to any of that data. I had to reach out to Store Development to receive backroom sqft, which they had to export from individual files - not from datasets. All other fields dont exist as far as I know of. Try Blaine Vernador to see if she can help.
Blaine Varnadore: We do run a calculator on each store and export a spreadsheet that goes to someone I think in our IT department and they collect that data for the business. It would include the back room sqft and number of pallet points that would fit in the back room (although some older stores may not be as accurate in that aspect). I'm not sure where it would output. The spreadsheet itself does not call out what numbers corelate with what room, but they somehow make sense of it. Let me do some digging and figure out what exactly they do with that data. There must be a central location where they keep all that info. Rahul Kumar Singh might know.</t>
    </r>
  </si>
  <si>
    <t>Store Planning
Merch P&amp;A</t>
  </si>
  <si>
    <t xml:space="preserve">Tredence comments: This is to identify the maximum capacity for storage at store level to decide the volume of shipment that can be sent. 
Kriss comments: there is a "Backroom Constraint" classification of stores into “Constrained”, “Not constrained” and “Highly constrained”. Based on this, maximum delivery to 
the store is determined. This is currently maintained in an excel file. "Backroom Constraint" takes square footage into account, but is also vetted with the store to determine the operational usage of the backroom - Ex.  a store may have a large backroom (1500sq ft or larger), but physically there are situations in the backroom that impacts the operational usage of receiving (i.e., long hallway, poles impacting moveability, etc.).
Overall agreement: follow up with Kriss to retrieve the excel file. </t>
  </si>
  <si>
    <t>Pending</t>
  </si>
  <si>
    <t>Varies based on backroom size and racking configurations. Transportation uses general rule of 13 pallets or 10k units per delivery as the max when deciding to add a requested addtl frequency for a store if this helps as a static general rule.</t>
  </si>
  <si>
    <t>SC P&amp;A
Store Ops</t>
  </si>
  <si>
    <t>Tredence comments: This refers to the maximum load a store can receive in a single delivery. The unit can be pallets or volume. If there are any other store-side capacity constraints applicable for delivery, then we can consider those as well.
Karlie comments: we pull the actual units from what the stores are receiving based on a time period. And then we're just looking at what's over 10K, like what's over that threshold essentially.
Celia agreed to work with the engineering team to provide aggregated values, focusing on fish vs. non-fish categories.</t>
  </si>
  <si>
    <t>Store Ops
Space Planning
Merch P&amp;A</t>
  </si>
  <si>
    <t>prod.refine.udf_usr_alt1_tier
prod.enterprise.site_master_extended</t>
  </si>
  <si>
    <t>alt1_tier_id
sq_feet_total</t>
  </si>
  <si>
    <t xml:space="preserve">Ask Tredence for further details on how this dataset would work with dynamic routes. </t>
  </si>
  <si>
    <t>Transportation team</t>
  </si>
  <si>
    <t>Tredence comments: As the routes are dynamic for MERCH, we can use the distance (DC to store, store to store in a single planner market) or average delivery cost based on historical data. 
Adam comments: lane definitions are based on origin and destination, with actual shipment data including intermediate stops. Cost per mile and lane definitions should include auxiliary charges and damages. 
Morgan comments: distance data is available but cautioned against using it as a direct cost proxy due to multi-stop routes.  there are cost differences depending on vehicle types (e.g., dry van, reefer) and that certain equipment types are not interchangeable on all routes.
Overall decision: that route guide can be used for distances. Rate extracts from Uber can be explored for arriving at average cost. Tredence confirmed that vehicle type would be a fixed association for each route.</t>
  </si>
  <si>
    <t>Tredence comments: As the routes are dynamic for MERCH, we can use the distance (DC to store, store to store in a single planner market) or average delivery cost based on historical data. 
Adam comments: lane definitions are based on origin and destination, with actual shipment data including intermediate stops. Cost per mile and lane definitions should include auxiliary charges and damages. 
Morgan comments: distance data is available but cautioned against using it as a direct cost proxy due to multi-stop routes.  there are cost differences depending on vehicle types (e.g., dry van, reefer) and that certain equipment types are not interchangeable on all routes.
Overall agreement: that route guide can be used for distances. Rate extracts from Uber can be explored for arriving at average cost. Tredence confirmed that vehicle type would be a fixed association for each route.</t>
  </si>
  <si>
    <t>Mukul</t>
  </si>
  <si>
    <t>prod.refine.udf_usr_hr_store_sales_tier
prod.refine.udf_usr_alt1_tier</t>
  </si>
  <si>
    <t>tier_id 
alt1_tier_id</t>
  </si>
  <si>
    <t>SC P&amp;A
Finance
Merch P&amp;A</t>
  </si>
  <si>
    <t>Tredence comments: This can be a derived value based on fixed and variable components such as rentals, administrative costs, manpower, etc. This can be at per case/unit/pallet level.
Celia agreed to work with the engineering team to provide aggregated values, focusing on fish vs. non-fish categories.</t>
  </si>
  <si>
    <t>Mukul (Gabby is following up with Celia first)</t>
  </si>
  <si>
    <t>Tredence comments:  This refers to minimum target weeks of supply that need to be maintained in the inventory. The granularity can be FISH and MERCH.
Celia agreed to consult with Dave and Chandrika to determine available metrics and substitutes.</t>
  </si>
  <si>
    <t>Tredence comments:  This refers to max target weeks of supply that need to be maintained in the inventory. The granularity can be FISH and MERCH.
Celia agreed to consult with Dave and Chandrika to determine available metrics and substitutes.</t>
  </si>
  <si>
    <t>Check with Merch</t>
  </si>
  <si>
    <t>Merch Ops</t>
  </si>
  <si>
    <t>Was not covered during design sessions. Maybe asking Darren Black or Shondreka Perry?</t>
  </si>
  <si>
    <t>High</t>
  </si>
  <si>
    <t>Ask Tredence about what kind of volume. Product capacity? Customer capacity?</t>
  </si>
  <si>
    <t xml:space="preserve">Tredence comments:  This is to identify whether there is a band into which stores are classified. 
Morgan comments: there is no volume band classification. Rates are paid per mile and are not volume-dependent. 
Overall agreement: to use flat rates and store tiers as proxies for volume, simplifying the cost model. </t>
  </si>
  <si>
    <t>Ask Tredence if location data is enough for them to calculate the groupings.</t>
  </si>
  <si>
    <t>Store Ops
Real Estate Team</t>
  </si>
  <si>
    <t xml:space="preserve">Ask Tredence for further details on what this value represents. </t>
  </si>
  <si>
    <t>Ask Real Estate Team</t>
  </si>
  <si>
    <t>Ask SC Planning (Celia)</t>
  </si>
  <si>
    <t>Store Ops
Real Estate Team
SC P&amp;A</t>
  </si>
  <si>
    <t>Tredence comments:  This refers to average cases delivered to the store in a week.
Engineering team to provide aggregated values.</t>
  </si>
  <si>
    <t xml:space="preserve">WHERE location_type_id in (1, 3) AND site_open_close_ind = 'O'
-- location_type_desc is "DC Std" and "FDC" for these ids. </t>
  </si>
  <si>
    <t>Tredence comments: This indicates a preferred DC for a store in case a store is mapped to multiple DCs. 
PetSmart mentioned that a single store is mapped to multiple DCs based on type of products that can be delivered by the DCs. Hence, DCs cannot be swapped. Also, DCs for MERCH and FISH are not mutually exclusive. 
Overall agreement: that in that case PetSmart will need to share the demand at DC+STORE+PROD_CLASS (MERCH vs. FISH) level so that the product mix is also accounted for (the primary DC flag can be ignored). 
Check if UF_LOAD can provide the PROD_CLASS value.</t>
  </si>
  <si>
    <t>prod.refine.uf_load
prod.refine.uf_stop</t>
  </si>
  <si>
    <t>TOTAL_DISTANCE / TOTAL_DISTANCE_UOM
DISTANCE_TO_NEXT_POINT / DISTANCE_TO_NEXT_POINT_UOM</t>
  </si>
  <si>
    <t>Not needed</t>
  </si>
  <si>
    <t>Can be skipped as routes are dynamic.</t>
  </si>
  <si>
    <t>Ask Celia/Katie in P&amp;A</t>
  </si>
  <si>
    <t>SC P&amp;A</t>
  </si>
  <si>
    <t>Engineering team to provide aggregated values.
Check if FMF tables can provide this.</t>
  </si>
  <si>
    <t>prod.refine.uf_scm_shipment_stop
prod.refine.fmf_shipment_status_app</t>
  </si>
  <si>
    <t>scm_stop_type_cd = 'DL' -- delivery stops
stop_actual_arr_tstmp is not null
orig_stop_arr_eta_tstmp is not null</t>
  </si>
  <si>
    <t>Medium</t>
  </si>
  <si>
    <t>Darren comments: We use various Status Codes (SC) for Seasonal products. They are as follows:
SC 35 – Holiday OTB (One Time Buy)
SC 36 – Shipper Holiday
SC 32 – Halloween Promo OTB
SC 31 – Seasonal Items
Additionally, Collection is also used to identify seasonal items; Here are the collections that are used: Holiday, Halloween, Red&amp;Green, Valentines Day, St Patricks Day.
Proposed source Snowflake EDW_PRD.PRESENTATION.SKU_PROFILE_RPT columns STATUS_ID, STATUS_NAME and EDW_PRD.PRESENTATION.PRODUCT_ATTRIBUTE_MV columns COLLECTION_ID, COLLECTION_DESC.</t>
  </si>
  <si>
    <t xml:space="preserve">Tredence comments:  This is trying to capture whether the delivery cost differs based on time of the year. The time can be month, week, or intraday. 
Morgan comments: rates are flat throughout the year, with volume peaks affecting delivery frequency but not cost per mile. 
Overall agreement: to use a flat costing structure and focus on volume-driven changes. </t>
  </si>
  <si>
    <t>Commercial Calendar</t>
  </si>
  <si>
    <t>Merch P&amp;A</t>
  </si>
  <si>
    <t>Ask Katie in P&amp;A or check with Merch</t>
  </si>
  <si>
    <t>SC P&amp;A
Merch P&amp;A</t>
  </si>
  <si>
    <t>Tredence comments: This captures the uplift or downshift in sales. 
Overall agreement: to use sales plan data by store and consider operational hours and holiday factors as needed.
Maybe Celia can provide the Sales Plan by Store?</t>
  </si>
  <si>
    <t>Follow up with Tredence if this whole dataset is going to be skipped or static only for FISH.</t>
  </si>
  <si>
    <t>department_id
product_family_id</t>
  </si>
  <si>
    <t>This would be only FISH category.</t>
  </si>
  <si>
    <t>Static</t>
  </si>
  <si>
    <t>Transportation</t>
  </si>
  <si>
    <t>All stores receive FISH on a biweekly basis i.e. they get replenished every 14 days. With rare exceptions for schedule changes.</t>
  </si>
  <si>
    <t>Can be skipped.</t>
  </si>
  <si>
    <t>Check with Merch or Supply Chain</t>
  </si>
  <si>
    <t>Can be skipped if max_days_without_replenishment is available (in PetSmart's context represents the same 14 days).</t>
  </si>
  <si>
    <t>Engineering team to provide aggregated values.</t>
  </si>
  <si>
    <t>Ask Celia in SC Planning</t>
  </si>
  <si>
    <t>Celia agreed to work with the engineering team to provide aggregated values, focusing on fish vs. non-fish categories.</t>
  </si>
  <si>
    <t>Ask Shondreka Perry from Merch Analytics and Allocation team</t>
  </si>
  <si>
    <t>SC P&amp;A
Merch Analytics
Email Darren Black</t>
  </si>
  <si>
    <t>Tredence comments: this flag can be derived based on a fill_rate_pct threshold. 
Darren comments: Use Status Code 25 – Long Term OOS. Proposed source Snowflake EDW_PRD.PRESENTATION.SKU_PROFILE_RPT columns STATUS_ID, STATUS_NAME.</t>
  </si>
  <si>
    <t>N/A</t>
  </si>
  <si>
    <t>S1 output</t>
  </si>
  <si>
    <t>WHERE location_type_id = 8 AND site_open_close_ind = 'O'
-- location_type_desc is "Store" for this id.
JOIN back to prod.legacy.dp_site_vend_profile ON location_id</t>
  </si>
  <si>
    <t>del_start_time*, del_end_time*</t>
  </si>
  <si>
    <t>LATERAL VIEW STACK 14 fields to extract day of the week</t>
  </si>
  <si>
    <t>WHERE START_TIME &lt;&gt; '00:00:00' AND END_TIME &lt;&gt; '00:00:00'</t>
  </si>
  <si>
    <t xml:space="preserve">del_start_time* </t>
  </si>
  <si>
    <t>Might need to aggregate by vendor (and also not including vendors out of scope)
Is it ok to use MDS as a source for this field?</t>
  </si>
  <si>
    <t>del_end_time*</t>
  </si>
  <si>
    <t>Check with Store Ops</t>
  </si>
  <si>
    <t>Store Ops</t>
  </si>
  <si>
    <t>Check with Labor Apps</t>
  </si>
  <si>
    <t>We can assume staff to be available except for Saturday. Saturday can be taken as delivery blackout day.</t>
  </si>
  <si>
    <t>Is this going to represent a "pack", "ship" or "pick" day? What kind of "day" would be represented here.
Question for Tredence: What "day" would be used for day_of_the_week (like would this be based on pallet shipped date).</t>
  </si>
  <si>
    <t>Tredence comments: This is the dispatch day (the day the DC loads the vehicle).</t>
  </si>
  <si>
    <t>prod.refine.fmf_shipment_status_app
prod.refine.fmf_shipment_plan</t>
  </si>
  <si>
    <t>est_footprint
pallets</t>
  </si>
  <si>
    <t xml:space="preserve">This data point does not exist today, and the logic to calculate it will need to be defined by business teams as there are multiple factors that play a role (DC staffing, order size, associate EP, markout rate, etc. )
If Tredence would use this, we can input like a MAX outbound pallets count from history on each of the days, but not like a hard constraint. </t>
  </si>
  <si>
    <t>MAX(COUNT(stop_id)) -- grouping by the combination of stop 1 + stop 99 (we need to revisit this logic here)</t>
  </si>
  <si>
    <t>Check with Jason Diaz
This might be calculated or defined by SC based on other fields (e.g. max pallets / routes). 
Question for Tredence: Do you want this to be a factor in this dataset or not necessarily?</t>
  </si>
  <si>
    <t>Tredence comments: This is used to capture change in pattern across shifts. Can be skipped if this is not the case. 
Overall agreement: there is not change in pattern, a flat structure can be considered. Can be ignored.</t>
  </si>
  <si>
    <t>Check with Jason Diaz
Jason Diaz: Unclear how far in advance we can determine this value. 
Question for Tredence: Do you want this to be a factor in this dataset or not necessarily?</t>
  </si>
  <si>
    <t>Tredence comments: This refers to days on which DCs are closed.
Morgan/Noah comments: most DCs operate seven days a week, but some are closed on weekends, and blackout days (e.g., Christmas, Saturdays) should be flagged accordingly.</t>
  </si>
  <si>
    <t>Confirm with stakeholders how routes should be defined. Will this dataset still be in scope?
This will be in scope, but need to determine the source and logic behind defining these routes. For example, one DC to store combination.</t>
  </si>
  <si>
    <t xml:space="preserve">Tredence comments: Can be skipped as routes are dynamic. We will consider the planner market to identify the cluster of stores that can be planned for a consolidated shipment. If there are days on which some stores cannot take delivery then we will need that data. PetSmart mentioned that they do not usually do deliveries on Saturday and also try to minimize deliveries on Sunday. </t>
  </si>
  <si>
    <t>"WHERE location_type_id = 8 AND site_open_close_ind = 'O'
-- location_type_desc is ""Store"" for this id."
JOIN back to prod.legacy.sales_trans_txn ON location_id</t>
  </si>
  <si>
    <t>JOIN back to prod.legacy.sales_trans_txn ON day_dt</t>
  </si>
  <si>
    <t>prod.legacy.sales_trans_txn</t>
  </si>
  <si>
    <t>AVG(COUNT sales_instance_id))</t>
  </si>
  <si>
    <t>WHERE order_fulfillment_channel &lt;&gt; "STH"</t>
  </si>
  <si>
    <t>Derive from AVG(COUNT sales_instance_id))</t>
  </si>
  <si>
    <t>Stores - Databricks OR Spreadsheet</t>
  </si>
  <si>
    <t>Databricks (Stores) - prod.enterprise.site_master_locator
Spreadsheet (Stores) - see cell H</t>
  </si>
  <si>
    <t>Databricks (Stores) - day_dt</t>
  </si>
  <si>
    <t>Stores Calendar</t>
  </si>
  <si>
    <t>Out of scope for DCs (Morgan).
Need to clarify expected scope of data. Existing Databricks table only has 2 weeks of data.</t>
  </si>
  <si>
    <t>Follow up on this if we need to ingest the stores calendar into Databricks.</t>
  </si>
  <si>
    <t>Stores - Spreadsheet</t>
  </si>
  <si>
    <t>Spreadsheet (Stores) - see cell H</t>
  </si>
  <si>
    <t xml:space="preserve">Out of scope for DCs (Morgan).
Need to clarify expected scope of data. Existing Databricks table only has 2 weeks of data.
If we use the Stores Calendar we would need to join back to store_id and select the correspoding schedule based on columns F and H. </t>
  </si>
  <si>
    <t>Databricks - prod.enterprise.site_master_locator
Spreadsheet- see cell H</t>
  </si>
  <si>
    <t>Databricks - store_day_closed_ind</t>
  </si>
  <si>
    <t>Need to clarify expected scope of data. Existing Databricks table only has 2 weeks of data.
Out of scope for DCs (Morgan).</t>
  </si>
  <si>
    <t>Out of scope for DCs (Morgan).</t>
  </si>
  <si>
    <t>Out of scope for DCs (Morgan).
Check with Tredence on data requirements. This seems like it will need to be more granular, as for example Canada region has different holiday rules.</t>
  </si>
  <si>
    <t>Check transcript/recording of the Design Session - Business Context &amp; Data Focused - MDS Optimization/Outbound Command Center. This was discussed there.</t>
  </si>
  <si>
    <t>Mukul (Adal is following up with Tredence first)</t>
  </si>
  <si>
    <t>Databricks - TBD</t>
  </si>
  <si>
    <t>Assuming where store_hours_desc &lt;&gt; 'Normal'
Need to clarify expected scope of data. Existing Databricks table only has 2 weeks of data.
Out of scope for DCs (Morgan).</t>
  </si>
  <si>
    <t>Confirm with stakeholders how routes should be defined. Will this dataset still be in scope? If so, can this be calculated using historical averages?
This will be in scope, but need to determine the source and logic behind defining these routes. For example, one DC to store combination.</t>
  </si>
  <si>
    <t xml:space="preserve">Tredence comments: As the routes are dynamic for MERCH, we can use the distance (DC to store, store to store in a single planner market) or average delivery cost based on historical data.
Adam comments: lane definitions are based on origin and destination, with actual shipment data including intermediate stops. Cost per mile and lane definitions should include auxiliary charges and damages. </t>
  </si>
  <si>
    <t>Gabby (Adal is following up with Tredence first)</t>
  </si>
  <si>
    <t>Tredence comments: This is applicable If there are variances in the cost based on the day of the week. Time at which the DCs are loading the trailers is not relevant. 
Overall agreement: these datapoints can be validated with StoreOps team (Kriss LeBlond and/or Matthew Hargrove).</t>
  </si>
  <si>
    <t>Transportation team
Store Ops</t>
  </si>
  <si>
    <t>location_external_id</t>
  </si>
  <si>
    <t>JOIN prod.enterprise.site_master_vw ON site_id = location_external_id
WHERE location_type_id = 8 
-- location_type_desc is "Store" for this id.
AND stop_type = 'DROPOFF'</t>
  </si>
  <si>
    <t xml:space="preserve">JOIN prod.refine.uf_stop ON DATE(arrival_datetime) = day_dt </t>
  </si>
  <si>
    <t>COUNT(DISTINCT me_id)</t>
  </si>
  <si>
    <t>WHERE current_date() &gt; arrival_datetime - INTERVAL 13 WEEK</t>
  </si>
  <si>
    <t>Include CTE to calculate % across the days of each week</t>
  </si>
  <si>
    <t>Source of permitted_delivery_days and max_days_between_deliveries will determine where to pull store_id from.</t>
  </si>
  <si>
    <t>MDS can provide this data based on the lines and store delivery schedule. But, FISH has superpowers and can arrive/deliver before the established schedule.</t>
  </si>
  <si>
    <t>Need to confirm if able to determine deliveries that are ride-along vs. non-ride along.
The only non-DSD shipments with live/perishable are fish shipments. For ride along, delivery constaints are the store windows, with Saturday deliveries being excluded from delivery eligibility (outside of special store schedules for holidays). For non-ride along fish, schedule is based on the RPA, with Saturdays and Sundays not included in these deliveries. 
For DSD deliveries, would need to reach out to Store Ops and Merch for constraints on these deliveries</t>
  </si>
  <si>
    <t>Check with DDMerchPB. 
If the concern is live animal/perishable deliveries, then I think this would go to Merch and be driven by demand</t>
  </si>
  <si>
    <t>Output of Solutions 1 and 2</t>
  </si>
  <si>
    <t>prod.enterprise.site_master_locator</t>
  </si>
  <si>
    <t>Need to explode the hours from the start and end time windows.</t>
  </si>
  <si>
    <t>MDS can provide this data based on the lines and store delivery schedule.</t>
  </si>
  <si>
    <t>Store Ops
Transportation team</t>
  </si>
  <si>
    <t xml:space="preserve">Each store has one dock door, and there is no variation in receiving window capacity across stores. </t>
  </si>
  <si>
    <t>Check with Store Ops. DDStoreSvcsHRSiteRE team suggested checking UKG</t>
  </si>
  <si>
    <t xml:space="preserve">Store Ops </t>
  </si>
  <si>
    <t>This is not a constraint. Can be skipped.</t>
  </si>
  <si>
    <t>region_id
region_desc</t>
  </si>
  <si>
    <t>restriction start time</t>
  </si>
  <si>
    <t xml:space="preserve">We'll need different dates and sources depending on the constraint. Noise ordinance stores are called out in the MDS. Noise ordinances are handled through delivery windows, but not all specific delivery windows are due to noise ordinances.
Not stored in any tables/Datalake tables
Is it ok to use MDS as a source for this field? Or based on the fact MDS is going to be used in other datasets we can flag this whole dataset as out of scope? </t>
  </si>
  <si>
    <t>restriction end time</t>
  </si>
  <si>
    <t>start date of regulation</t>
  </si>
  <si>
    <t>end date of regulation</t>
  </si>
  <si>
    <t>WHERE location_type_id in (1, 3) AND site_open_close_ind = 'O'
-- location_type_desc is "DC Std" and "FDC" for these ids. 
-- Needs updating to inculde Metro DCs (2, 13)</t>
  </si>
  <si>
    <t>This would be predefined buckets &amp; need to be determined by Transportation team.</t>
  </si>
  <si>
    <t>Likely do not have this. Looks like there is a plan to integrate with a Mapping API.
Dataset likely out of scope</t>
  </si>
  <si>
    <t>uf_load.toal_distance
uf_load.total_distance_uom
uf_stop.distance_to_next_point
uf_stop.distance_to_next_point_uom</t>
  </si>
  <si>
    <t>-- join prod.enterprise.site_master_vw on wm_dock_door.location_id = prod.enterprise.site_master _vw.location_id</t>
  </si>
  <si>
    <t>Was not covered during design sessions?</t>
  </si>
  <si>
    <t>This would have to be a derived field. However, as we do not currently long term store which shipments use which dock doors there is not a field that qualifies here</t>
  </si>
  <si>
    <t>prod.refine.fmf_shipment_plan
prod.refine.fmf_shipment_status_app</t>
  </si>
  <si>
    <t>fmf_shipment_plan.pallets
fmf_shipment_status_app.est_footprints</t>
  </si>
  <si>
    <t>Tredence would need to define the buckets.</t>
  </si>
  <si>
    <t>Adam comments: lane definitions are based on origin and destination, with actual shipment data including intermediate stops.</t>
  </si>
  <si>
    <t xml:space="preserve">Check with Transportation team and/or Store Ops. </t>
  </si>
  <si>
    <t xml:space="preserve">Tredence comments: PetSmart mentioned that the average time dwell time at a store is 1 hour; for Fish it is 30 minutes. </t>
  </si>
  <si>
    <t>Can be skipped as we are not considering any crew related constraints. We can assume that crew will be available.</t>
  </si>
  <si>
    <t>Out of scope - We do not manage our own fleet &amp; drivers</t>
  </si>
  <si>
    <t>Snowflake</t>
  </si>
  <si>
    <t>EDW_PRD.PRESENTATION.SITE_TRAFFIC</t>
  </si>
  <si>
    <t>CUST_EXIT_CNT</t>
  </si>
  <si>
    <t>PERIOD_START_TSTMP
PERIOD_END_TSTMP
STORE_NBR</t>
  </si>
  <si>
    <t>Find Databricks source for this field in Snowflake</t>
  </si>
  <si>
    <t>freight_id</t>
  </si>
  <si>
    <t>If this is talking about specifc orders, the provided fields would work, else we do not manage our own fleet &amp; drivers and this would be out of scope</t>
  </si>
  <si>
    <t>Tredence comments: As the routes are dynamic for MERCH, we can use the distance (DC to store, store to store in a single planner market) or average delivery cost based on historical data.
Adam comments: lane definitions are based on origin and destination, with actual shipment data including intermediate stops.
Can be skipped.</t>
  </si>
  <si>
    <t>sum(weight) and group by distinct me_id</t>
  </si>
  <si>
    <t>stop_count</t>
  </si>
  <si>
    <t>Tredence comments: Can be skipped if number of pallets are available.</t>
  </si>
  <si>
    <t>prod.refine.fmf_shipment_plan
prod.enterprise.item_master_vw</t>
  </si>
  <si>
    <t>fmf_shipment_plan.commodity 
item_master_vw.department_id
item_master_vw.product family id</t>
  </si>
  <si>
    <t>either fmf or item table, depends if we want "Merch vs Fish" or specific item data</t>
  </si>
  <si>
    <t>The only non-DSD shipments with live/perishable are fish shipments. For ride along, delivery constaints are the store windows, with Saturday deliveries being excluded from delivery eligibility (outside of special store schedules for holidays). For non-ride along fish, schedule is based on the RPA, with Saturdays and Sundays not included in these deliveries. 
For fish windows:
Ride Along Fish deliveries - will follow store delivery window (including new Project Max windows) in the MDS
Non - Ride Along Fish deliveries(crosdock, milk run, direct) - set times known via the RPA, but no specific delivery windows. Deliveries fall within up to 2 hours before standard store open time up to store close</t>
  </si>
  <si>
    <t>No default for MERCH, MX.
FISH = 73 &amp; Reefer trailers only</t>
  </si>
  <si>
    <t>Validate if this static value needs to go as a reference table in Databricks.</t>
  </si>
  <si>
    <t>Flag only for FISH deliveries</t>
  </si>
  <si>
    <t xml:space="preserve">Questions </t>
  </si>
  <si>
    <t>Related solution/dataset examples</t>
  </si>
  <si>
    <t>What timeframe of data does Tredence needs? All history? Last year? Last month? Las week?
We would like to have per dataset a timeframe definition if possible. e.g. "last year", "last week", "next month", "next quarter", etc.</t>
  </si>
  <si>
    <t>All of them</t>
  </si>
  <si>
    <t xml:space="preserve">Does "cases" fields represent the same type of product container in all the datasets? E.g. store vs. shipment related datasets. </t>
  </si>
  <si>
    <t>E.g. S1 - #1 Store weekly sales volume vs. S3 - #9 Vehicle load plan</t>
  </si>
  <si>
    <t xml:space="preserve">Ask Tredence for further details on how the routes datasets would work with dynamic routes. </t>
  </si>
  <si>
    <t>S1 - #3 Delivery cost model (per trip)
S1 - #6 DC-to-store network mapping
S2 - #4 Route master and day-of-week eligibility
S2 - #8 Day-of-week delivery cost index
S3 - #5 DC outbound dock schedule (hourly)</t>
  </si>
  <si>
    <t>Further design sessions, regarding data, how specific are we gonna go through the fields? And do we need to plan ahead of time to include other business and IT areas?</t>
  </si>
  <si>
    <t>Mallory</t>
  </si>
  <si>
    <t>What does "volume_band" represents here? Product capacity? Customer capacity?</t>
  </si>
  <si>
    <t>About "urban_suburban_rural" ask Tredence if location data is enough for them to calculate the groupings.</t>
  </si>
  <si>
    <t>What does "store_format" represents exactly?</t>
  </si>
  <si>
    <t>With "primary_dc_flag", MDS have between 1-3 DCs delivering orders. Can we flag all of the as TRUE or do we need to calculate which one delivers the most and use that one as primary?</t>
  </si>
  <si>
    <t>S1 - #6 DC-to-store network mapping
This is Tredence and PetSmart SC team as well</t>
  </si>
  <si>
    <t xml:space="preserve">Fresh &amp; Frozen is out of scope, is the S1 - #10 dataset only a list of FISH skus? Only 1 FISH family category? </t>
  </si>
  <si>
    <t>S1 - #10 Perishable &amp; live animal category flags
S2 - #10 Perishable &amp; live animal delivery day constraints</t>
  </si>
  <si>
    <t>Which fields are going to be the output from S1 and S2 and which one do we need to provide separetely?</t>
  </si>
  <si>
    <t>Do "receiving_start_time" and "receiving_end_time" need to  be aggregated at day of the week (thus comparing multiple vendors)? Or is this data going to come from a specific planning source (not comparing MDS day by day data)?
Same for "receiving_open_flag" in S3 - #2</t>
  </si>
  <si>
    <t>S2 - #2 Store receiving availability by day-of-week
S3 - #2 Store receiving window (hourly)
This is a PetSmart SC team question.</t>
  </si>
  <si>
    <t>Is the "S2 - #3 DC dispatch capacity by day-of-week" dataset based on historical data or planned data?</t>
  </si>
  <si>
    <t>The following datasets are out of scope, how this is going to affect the model execution/development?</t>
  </si>
  <si>
    <t>S2 - #5 Driver and fleet availability by day-of-week
S2 - #11 Direct Store Delivery (DSD) schedule</t>
  </si>
  <si>
    <t xml:space="preserve">Check with Tredence on data requirements. This seems like it will need to be more granular, as for example Canada region has different holiday rules. So, which is the expected "region" granularity? Country? States? Regions? ZIP codes? </t>
  </si>
  <si>
    <t xml:space="preserve">What kind of regulatory constraints are we expecting here to provide (scope)? Are these taken into account in MDS? </t>
  </si>
  <si>
    <t>S3 - #3 Regulatory constraints
This is Tredence and PetSmart SC team as well</t>
  </si>
  <si>
    <t xml:space="preserve">What is the idea here, do we need to calculate these ourselves or Tredence can use lat/long data for DCs and Stores and do the API calls themselves? It looks the main source would be a Google Maps API or HERE API endpoints. </t>
  </si>
  <si>
    <t xml:space="preserve">Does the LOAD_EXC column in MDS, is it something we would need to take into account for the constraints dataset? Or only "regulatory" constraints? </t>
  </si>
  <si>
    <t>S3 - #3 Regulatory constraints
This is PetSmart SC team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</si>
</sst>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11"/>
      <color rgb="FF000000"/>
      <name val="Calibri"/>
      <charset val="1"/>
    </font>
    <font>
      <sz val="11"/>
      <color rgb="FF000000"/>
      <name val="Aptos Narrow"/>
    </font>
    <font>
      <u/>
      <sz val="11"/>
      <color theme="10"/>
      <name val="Aptos Narrow"/>
      <family val="2"/>
      <scheme val="minor"/>
    </font>
    <font>
      <sz val="11"/>
      <color rgb="FF000000"/>
      <name val="Aptos Narrow"/>
      <charset val="1"/>
    </font>
    <font>
      <strike/>
      <sz val="11"/>
      <color theme="1"/>
      <name val="Aptos Narrow"/>
      <family val="2"/>
      <scheme val="minor"/>
    </font>
    <font>
      <sz val="11"/>
      <color rgb="FF242424"/>
      <name val="Aptos Narrow"/>
      <charset val="1"/>
    </font>
    <font>
      <sz val="11"/>
      <color rgb="FF000000"/>
      <name val="Aptos Narrow"/>
      <family val="2"/>
    </font>
    <font>
      <sz val="11"/>
      <color rgb="FF242424"/>
      <name val="Aptos Narrow"/>
      <family val="2"/>
    </font>
    <font>
      <strike/>
      <sz val="11"/>
      <color rgb="FF000000"/>
      <name val="Aptos Narrow"/>
    </font>
    <font>
      <b/>
      <sz val="11"/>
      <color rgb="FF000000"/>
      <name val="Aptos"/>
      <family val="2"/>
      <charset val="1"/>
    </font>
    <font>
      <sz val="11"/>
      <color rgb="FF000000"/>
      <name val="Aptos"/>
      <family val="2"/>
      <charset val="1"/>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5" tint="0.59999389629810485"/>
        <bgColor indexed="64"/>
      </patternFill>
    </fill>
    <fill>
      <patternFill patternType="solid">
        <fgColor rgb="FFE97132"/>
        <bgColor indexed="64"/>
      </patternFill>
    </fill>
    <fill>
      <patternFill patternType="solid">
        <fgColor rgb="FF00B0F0"/>
        <bgColor indexed="64"/>
      </patternFill>
    </fill>
    <fill>
      <patternFill patternType="solid">
        <fgColor rgb="FFD9D9D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2">
    <xf numFmtId="0" fontId="0" fillId="0" borderId="0"/>
    <xf numFmtId="0" fontId="4" fillId="0" borderId="0" applyNumberFormat="0" applyFill="0" applyBorder="0" applyAlignment="0" applyProtection="0"/>
  </cellStyleXfs>
  <cellXfs count="95">
    <xf numFmtId="0" fontId="0" fillId="0" borderId="0" xfId="0"/>
    <xf numFmtId="0" fontId="1" fillId="2" borderId="0" xfId="0" applyFont="1" applyFill="1"/>
    <xf numFmtId="0" fontId="1" fillId="2" borderId="0" xfId="0" applyFon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0" fontId="3" fillId="0" borderId="0" xfId="0" applyFont="1" applyAlignment="1">
      <alignment wrapText="1"/>
    </xf>
    <xf numFmtId="0" fontId="3" fillId="3" borderId="0" xfId="0" applyFont="1" applyFill="1" applyAlignment="1">
      <alignment wrapText="1"/>
    </xf>
    <xf numFmtId="0" fontId="0" fillId="3" borderId="0" xfId="0" applyFill="1" applyAlignment="1">
      <alignment horizontal="left" vertical="center"/>
    </xf>
    <xf numFmtId="0" fontId="0" fillId="3" borderId="0" xfId="0" applyFill="1" applyAlignment="1">
      <alignment horizontal="left" vertical="center" wrapText="1"/>
    </xf>
    <xf numFmtId="0" fontId="0" fillId="3" borderId="0" xfId="0" applyFill="1"/>
    <xf numFmtId="0" fontId="0" fillId="0" borderId="0" xfId="0" applyAlignment="1">
      <alignment wrapText="1"/>
    </xf>
    <xf numFmtId="0" fontId="2" fillId="0" borderId="0" xfId="0" applyFont="1" applyAlignment="1">
      <alignment wrapText="1"/>
    </xf>
    <xf numFmtId="0" fontId="0" fillId="3" borderId="0" xfId="0" applyFill="1" applyAlignment="1">
      <alignment wrapText="1"/>
    </xf>
    <xf numFmtId="0" fontId="3" fillId="4" borderId="0" xfId="0" applyFont="1" applyFill="1" applyAlignment="1">
      <alignment wrapText="1"/>
    </xf>
    <xf numFmtId="0" fontId="0" fillId="4" borderId="0" xfId="0" applyFill="1" applyAlignment="1">
      <alignment horizontal="left" vertical="center" wrapText="1"/>
    </xf>
    <xf numFmtId="0" fontId="0" fillId="4" borderId="0" xfId="0" applyFill="1" applyAlignment="1">
      <alignment horizontal="left" vertical="center"/>
    </xf>
    <xf numFmtId="0" fontId="0" fillId="4" borderId="0" xfId="0" applyFill="1"/>
    <xf numFmtId="0" fontId="4" fillId="3" borderId="0" xfId="1" applyFill="1" applyAlignment="1">
      <alignment horizontal="left" vertical="center"/>
    </xf>
    <xf numFmtId="0" fontId="4" fillId="3" borderId="0" xfId="1" applyFill="1"/>
    <xf numFmtId="0" fontId="3" fillId="5" borderId="0" xfId="0" applyFont="1" applyFill="1" applyAlignment="1">
      <alignment wrapText="1"/>
    </xf>
    <xf numFmtId="0" fontId="0" fillId="5" borderId="0" xfId="0" applyFill="1" applyAlignment="1">
      <alignment horizontal="left" vertical="center" wrapText="1"/>
    </xf>
    <xf numFmtId="0" fontId="0" fillId="5" borderId="0" xfId="0" applyFill="1" applyAlignment="1">
      <alignment horizontal="left" vertical="center"/>
    </xf>
    <xf numFmtId="0" fontId="0" fillId="5" borderId="0" xfId="0" applyFill="1"/>
    <xf numFmtId="0" fontId="4" fillId="0" borderId="0" xfId="1" applyAlignment="1">
      <alignment horizontal="left" vertical="center"/>
    </xf>
    <xf numFmtId="0" fontId="3" fillId="6" borderId="0" xfId="0" applyFont="1" applyFill="1" applyAlignment="1">
      <alignment wrapText="1"/>
    </xf>
    <xf numFmtId="0" fontId="0" fillId="6" borderId="0" xfId="0" applyFill="1" applyAlignment="1">
      <alignment horizontal="left" vertical="center" wrapText="1"/>
    </xf>
    <xf numFmtId="0" fontId="0" fillId="6" borderId="0" xfId="0" applyFill="1" applyAlignment="1">
      <alignment horizontal="left" vertical="center"/>
    </xf>
    <xf numFmtId="0" fontId="0" fillId="6" borderId="0" xfId="0" applyFill="1"/>
    <xf numFmtId="0" fontId="2" fillId="5" borderId="0" xfId="0" applyFont="1" applyFill="1" applyAlignment="1">
      <alignment wrapText="1"/>
    </xf>
    <xf numFmtId="0" fontId="0" fillId="5" borderId="0" xfId="0" applyFill="1" applyAlignment="1">
      <alignment wrapText="1"/>
    </xf>
    <xf numFmtId="0" fontId="0" fillId="4" borderId="0" xfId="0" applyFill="1" applyAlignment="1">
      <alignment wrapText="1"/>
    </xf>
    <xf numFmtId="0" fontId="3" fillId="7" borderId="0" xfId="0" applyFont="1" applyFill="1" applyAlignment="1">
      <alignment wrapText="1"/>
    </xf>
    <xf numFmtId="0" fontId="0" fillId="7" borderId="0" xfId="0" applyFill="1" applyAlignment="1">
      <alignment horizontal="left" vertical="center" wrapText="1"/>
    </xf>
    <xf numFmtId="0" fontId="0" fillId="7" borderId="0" xfId="0" applyFill="1" applyAlignment="1">
      <alignment horizontal="left" vertical="center"/>
    </xf>
    <xf numFmtId="0" fontId="0" fillId="7" borderId="0" xfId="0" applyFill="1"/>
    <xf numFmtId="0" fontId="0" fillId="7" borderId="0" xfId="0" quotePrefix="1" applyFill="1" applyAlignment="1">
      <alignment horizontal="left" vertical="center" wrapText="1"/>
    </xf>
    <xf numFmtId="0" fontId="0" fillId="7" borderId="0" xfId="0" applyFill="1" applyAlignment="1">
      <alignment wrapText="1"/>
    </xf>
    <xf numFmtId="0" fontId="3" fillId="8" borderId="0" xfId="0" applyFont="1" applyFill="1" applyAlignment="1">
      <alignment wrapText="1"/>
    </xf>
    <xf numFmtId="0" fontId="0" fillId="8" borderId="0" xfId="0" applyFill="1" applyAlignment="1">
      <alignment horizontal="left" vertical="center" wrapText="1"/>
    </xf>
    <xf numFmtId="0" fontId="0" fillId="8" borderId="0" xfId="0" applyFill="1" applyAlignment="1">
      <alignment horizontal="left" vertical="center"/>
    </xf>
    <xf numFmtId="0" fontId="0" fillId="8" borderId="0" xfId="0" applyFill="1"/>
    <xf numFmtId="0" fontId="0" fillId="8" borderId="0" xfId="0" applyFill="1" applyAlignment="1">
      <alignment wrapText="1"/>
    </xf>
    <xf numFmtId="0" fontId="0" fillId="7" borderId="0" xfId="0" applyFill="1" applyAlignment="1">
      <alignment vertical="center" wrapText="1"/>
    </xf>
    <xf numFmtId="0" fontId="1" fillId="2" borderId="0" xfId="0" applyFont="1" applyFill="1" applyAlignment="1">
      <alignment wrapText="1"/>
    </xf>
    <xf numFmtId="0" fontId="4" fillId="3" borderId="0" xfId="1" applyFill="1" applyAlignment="1">
      <alignment wrapText="1"/>
    </xf>
    <xf numFmtId="0" fontId="5" fillId="0" borderId="0" xfId="0" applyFont="1"/>
    <xf numFmtId="0" fontId="5" fillId="3" borderId="0" xfId="0" applyFont="1" applyFill="1" applyAlignment="1">
      <alignment wrapText="1"/>
    </xf>
    <xf numFmtId="0" fontId="4" fillId="4" borderId="0" xfId="1" applyFill="1"/>
    <xf numFmtId="0" fontId="3" fillId="9" borderId="0" xfId="0" applyFont="1" applyFill="1" applyAlignment="1">
      <alignment wrapText="1"/>
    </xf>
    <xf numFmtId="0" fontId="0" fillId="9" borderId="0" xfId="0" applyFill="1" applyAlignment="1">
      <alignment horizontal="left" vertical="center" wrapText="1"/>
    </xf>
    <xf numFmtId="0" fontId="0" fillId="9" borderId="0" xfId="0" applyFill="1" applyAlignment="1">
      <alignment horizontal="left" vertical="center"/>
    </xf>
    <xf numFmtId="0" fontId="0" fillId="9" borderId="0" xfId="0" applyFill="1"/>
    <xf numFmtId="0" fontId="0" fillId="9" borderId="0" xfId="0" applyFill="1" applyAlignment="1">
      <alignment wrapText="1"/>
    </xf>
    <xf numFmtId="0" fontId="6" fillId="0" borderId="0" xfId="0" applyFont="1" applyAlignment="1">
      <alignment wrapText="1"/>
    </xf>
    <xf numFmtId="0" fontId="7" fillId="0" borderId="0" xfId="0" applyFont="1"/>
    <xf numFmtId="0" fontId="4" fillId="7" borderId="0" xfId="1" applyFill="1" applyAlignment="1">
      <alignment horizontal="left" vertical="center"/>
    </xf>
    <xf numFmtId="0" fontId="3" fillId="10" borderId="0" xfId="0" applyFont="1" applyFill="1" applyAlignment="1">
      <alignment wrapText="1"/>
    </xf>
    <xf numFmtId="0" fontId="0" fillId="10" borderId="0" xfId="0" applyFill="1" applyAlignment="1">
      <alignment horizontal="left" vertical="center" wrapText="1"/>
    </xf>
    <xf numFmtId="0" fontId="0" fillId="10" borderId="0" xfId="0" applyFill="1" applyAlignment="1">
      <alignment horizontal="left" vertical="center"/>
    </xf>
    <xf numFmtId="0" fontId="0" fillId="10" borderId="0" xfId="0" applyFill="1"/>
    <xf numFmtId="0" fontId="0" fillId="10" borderId="0" xfId="0" applyFill="1" applyAlignment="1">
      <alignment wrapText="1"/>
    </xf>
    <xf numFmtId="0" fontId="8" fillId="3" borderId="0" xfId="0" applyFont="1" applyFill="1" applyAlignment="1">
      <alignment wrapText="1"/>
    </xf>
    <xf numFmtId="0" fontId="0" fillId="5" borderId="0" xfId="0" applyFill="1" applyAlignment="1">
      <alignment vertical="center" wrapText="1"/>
    </xf>
    <xf numFmtId="0" fontId="6" fillId="7" borderId="0" xfId="0" applyFont="1" applyFill="1"/>
    <xf numFmtId="0" fontId="9" fillId="7" borderId="0" xfId="0" applyFont="1" applyFill="1" applyAlignment="1">
      <alignment wrapText="1"/>
    </xf>
    <xf numFmtId="0" fontId="8" fillId="7" borderId="0" xfId="0" applyFont="1" applyFill="1" applyAlignment="1">
      <alignment wrapText="1"/>
    </xf>
    <xf numFmtId="0" fontId="0" fillId="0" borderId="1" xfId="0" applyBorder="1"/>
    <xf numFmtId="0" fontId="1" fillId="2" borderId="1" xfId="0" applyFont="1" applyFill="1" applyBorder="1"/>
    <xf numFmtId="9" fontId="0" fillId="0" borderId="1" xfId="0" applyNumberFormat="1" applyBorder="1"/>
    <xf numFmtId="9" fontId="1" fillId="2" borderId="1" xfId="0" applyNumberFormat="1" applyFont="1" applyFill="1" applyBorder="1"/>
    <xf numFmtId="9" fontId="0" fillId="0" borderId="0" xfId="0" applyNumberFormat="1"/>
    <xf numFmtId="0" fontId="4" fillId="7" borderId="0" xfId="1" applyFill="1" applyAlignment="1">
      <alignment horizontal="left" vertical="center" wrapText="1"/>
    </xf>
    <xf numFmtId="0" fontId="4" fillId="0" borderId="0" xfId="1" applyAlignment="1">
      <alignment horizontal="left" vertical="center" wrapText="1"/>
    </xf>
    <xf numFmtId="0" fontId="1" fillId="2" borderId="0" xfId="0" applyFont="1" applyFill="1" applyAlignment="1">
      <alignment horizontal="left" wrapText="1"/>
    </xf>
    <xf numFmtId="0" fontId="0" fillId="0" borderId="0" xfId="0" applyAlignment="1">
      <alignment horizontal="left" wrapText="1"/>
    </xf>
    <xf numFmtId="0" fontId="4" fillId="5" borderId="0" xfId="1" applyFill="1"/>
    <xf numFmtId="0" fontId="0" fillId="0" borderId="0" xfId="0" applyAlignment="1">
      <alignment horizontal="left"/>
    </xf>
    <xf numFmtId="0" fontId="5" fillId="0" borderId="0" xfId="0" applyFont="1" applyAlignment="1">
      <alignment wrapText="1"/>
    </xf>
    <xf numFmtId="0" fontId="4" fillId="0" borderId="0" xfId="1" applyFill="1" applyAlignment="1">
      <alignment horizontal="left" vertical="center"/>
    </xf>
    <xf numFmtId="0" fontId="3" fillId="4" borderId="0" xfId="0" applyFont="1" applyFill="1" applyAlignment="1">
      <alignment horizontal="left" wrapText="1"/>
    </xf>
    <xf numFmtId="49" fontId="0" fillId="0" borderId="0" xfId="0" applyNumberFormat="1" applyAlignment="1">
      <alignment wrapText="1"/>
    </xf>
    <xf numFmtId="0" fontId="1" fillId="0" borderId="0" xfId="0" applyFont="1"/>
    <xf numFmtId="0" fontId="11" fillId="11" borderId="2" xfId="0" applyFont="1" applyFill="1" applyBorder="1"/>
    <xf numFmtId="0" fontId="11" fillId="11" borderId="3" xfId="0" applyFont="1" applyFill="1" applyBorder="1"/>
    <xf numFmtId="0" fontId="12" fillId="0" borderId="4" xfId="0" applyFont="1" applyBorder="1" applyAlignment="1">
      <alignment wrapText="1"/>
    </xf>
    <xf numFmtId="0" fontId="12" fillId="0" borderId="5" xfId="0" applyFont="1" applyBorder="1"/>
    <xf numFmtId="0" fontId="12" fillId="0" borderId="6" xfId="0" applyFont="1" applyBorder="1" applyAlignment="1">
      <alignment wrapText="1"/>
    </xf>
    <xf numFmtId="0" fontId="12" fillId="0" borderId="7" xfId="0" applyFont="1" applyBorder="1"/>
    <xf numFmtId="14" fontId="12" fillId="0" borderId="7" xfId="0" applyNumberFormat="1" applyFont="1" applyBorder="1"/>
    <xf numFmtId="0" fontId="12" fillId="0" borderId="5" xfId="0" applyFont="1" applyBorder="1" applyAlignment="1">
      <alignment wrapText="1"/>
    </xf>
    <xf numFmtId="0" fontId="12" fillId="0" borderId="7" xfId="0" applyFont="1" applyBorder="1" applyAlignment="1">
      <alignment wrapText="1"/>
    </xf>
    <xf numFmtId="0" fontId="5" fillId="3" borderId="0" xfId="0" applyFont="1" applyFill="1"/>
    <xf numFmtId="0" fontId="7" fillId="3" borderId="0" xfId="0" applyFont="1" applyFill="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fetch.petsmart.com/departments/Store%20Operations/MerchCentral/resetshome/Documents/Commercial%20Calendar/FY26%20Commercial%20Calendar%201.22.26.pdf" TargetMode="External"/><Relationship Id="rId3" Type="http://schemas.openxmlformats.org/officeDocument/2006/relationships/hyperlink" Target="../../../../../../../:x:/r/sites/IT/DIMktTech/_layouts/15/Doc.aspx?sourcedoc=%7BB93A817E-03A3-47EC-B9B0-86F1C37B7CB2%7D&amp;file=ThoughtSpot%20Data%20Assets.xlsx&amp;action=default&amp;mobileredirect=true&amp;wdExp=TEAMS-TREATMENT&amp;web=1&amp;TeamsCID=e85419ef-9259-4233-83e1-be035b1ae3fe" TargetMode="External"/><Relationship Id="rId7" Type="http://schemas.openxmlformats.org/officeDocument/2006/relationships/hyperlink" Target="https://fetch.petsmart.com/departments/Store%20Operations/MerchCentral/resetshome/Documents/Commercial%20Calendar/FY26%20Commercial%20Calendar%201.22.26.pdf" TargetMode="External"/><Relationship Id="rId2"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1"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6"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5" Type="http://schemas.openxmlformats.org/officeDocument/2006/relationships/hyperlink" Target="https://fetch.petsmart.com/departments/Store%20Operations/MerchCentral/resetshome/Documents/Commercial%20Calendar/FY26%20Commercial%20Calendar%201.22.26.pdf" TargetMode="External"/><Relationship Id="rId10" Type="http://schemas.openxmlformats.org/officeDocument/2006/relationships/printerSettings" Target="../printerSettings/printerSettings1.bin"/><Relationship Id="rId4" Type="http://schemas.openxmlformats.org/officeDocument/2006/relationships/hyperlink" Target="../../../../../../../:x:/r/sites/IT/DIMktTech/_layouts/15/Doc.aspx?sourcedoc=%7BB93A817E-03A3-47EC-B9B0-86F1C37B7CB2%7D&amp;file=ThoughtSpot%20Data%20Assets.xlsx&amp;action=default&amp;mobileredirect=true&amp;wdExp=TEAMS-TREATMENT&amp;web=1&amp;TeamsCID=e85419ef-9259-4233-83e1-be035b1ae3fe" TargetMode="External"/><Relationship Id="rId9" Type="http://schemas.openxmlformats.org/officeDocument/2006/relationships/hyperlink" Target="https://fetch.petsmart.com/departments/Store%20Operations/Shared%20Documents/Store%20List.xlsx"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1"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etch.petsmart.com/departments/Store%20Operations/MerchCentral/resetshome/Documents/Commercial%20Calendar/FY26%20Commercial%20Calendar%201.22.26.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7" Type="http://schemas.openxmlformats.org/officeDocument/2006/relationships/hyperlink" Target="https://fetch.petsmart.com/departments/Store%20Operations/MerchCentral/resetshome/Documents/Commercial%20Calendar/FY26%20Commercial%20Calendar%201.22.26.pdf" TargetMode="External"/><Relationship Id="rId2"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1"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 Id="rId6" Type="http://schemas.openxmlformats.org/officeDocument/2006/relationships/hyperlink" Target="https://fetch.petsmart.com/departments/Store%20Operations/MerchCentral/resetshome/Documents/Commercial%20Calendar/FY26%20Commercial%20Calendar%201.22.26.pdf" TargetMode="External"/><Relationship Id="rId5" Type="http://schemas.openxmlformats.org/officeDocument/2006/relationships/hyperlink" Target="https://fetch.petsmart.com/departments/Store%20Operations/MerchCentral/resetshome/Documents/Commercial%20Calendar/FY26%20Commercial%20Calendar%201.22.26.pdf" TargetMode="External"/><Relationship Id="rId4" Type="http://schemas.openxmlformats.org/officeDocument/2006/relationships/hyperlink" Target="../../../../../../../:x:/r/sites/StoreOps/StoreHours/_layouts/15/Doc.aspx?sourcedoc=%7B12BBBBC5-F878-4F56-900F-4D9163F8311F%7D&amp;file=2026%20Store%20Hours%20of%20Operation.xlsx&amp;action=default&amp;mobileredirect=true&amp;wdExp=TEAMS-TREATMENT&amp;web=1&amp;TeamsCID=ee31cb42-ff54-465c-861b-8be5784f72a2&amp;linkOpenTime=17803379907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6F17-9304-4112-A449-65FBAA164F56}">
  <dimension ref="A1:D8"/>
  <sheetViews>
    <sheetView workbookViewId="0">
      <selection activeCell="B4" sqref="B4"/>
    </sheetView>
  </sheetViews>
  <sheetFormatPr defaultRowHeight="15"/>
  <cols>
    <col min="1" max="1" width="40.85546875" bestFit="1" customWidth="1"/>
    <col min="2" max="2" width="16.5703125" bestFit="1" customWidth="1"/>
    <col min="3" max="3" width="11.140625" style="71" bestFit="1" customWidth="1"/>
  </cols>
  <sheetData>
    <row r="1" spans="1:4">
      <c r="A1" s="68" t="s">
        <v>0</v>
      </c>
      <c r="B1" s="68" t="s">
        <v>1</v>
      </c>
      <c r="C1" s="70" t="s">
        <v>2</v>
      </c>
    </row>
    <row r="2" spans="1:4">
      <c r="A2" s="67" t="s">
        <v>3</v>
      </c>
      <c r="B2" s="67">
        <v>44</v>
      </c>
      <c r="C2" s="69">
        <f>B2/135</f>
        <v>0.32592592592592595</v>
      </c>
    </row>
    <row r="3" spans="1:4">
      <c r="A3" s="67" t="s">
        <v>4</v>
      </c>
      <c r="B3" s="67">
        <v>21</v>
      </c>
      <c r="C3" s="69">
        <f>B3/135</f>
        <v>0.15555555555555556</v>
      </c>
      <c r="D3" s="71"/>
    </row>
    <row r="4" spans="1:4">
      <c r="A4" s="67" t="s">
        <v>5</v>
      </c>
      <c r="B4" s="67">
        <v>7</v>
      </c>
      <c r="C4" s="69">
        <f>B4/135</f>
        <v>5.185185185185185E-2</v>
      </c>
    </row>
    <row r="5" spans="1:4">
      <c r="A5" s="67" t="s">
        <v>6</v>
      </c>
      <c r="B5" s="67">
        <v>16</v>
      </c>
      <c r="C5" s="69">
        <f>B5/135</f>
        <v>0.11851851851851852</v>
      </c>
    </row>
    <row r="6" spans="1:4">
      <c r="A6" s="67" t="s">
        <v>7</v>
      </c>
      <c r="B6" s="67">
        <v>17</v>
      </c>
      <c r="C6" s="69">
        <f>B6/135</f>
        <v>0.12592592592592591</v>
      </c>
    </row>
    <row r="7" spans="1:4">
      <c r="A7" s="67" t="s">
        <v>8</v>
      </c>
      <c r="B7" s="67">
        <v>8</v>
      </c>
      <c r="C7" s="69">
        <f>B7/135</f>
        <v>5.9259259259259262E-2</v>
      </c>
    </row>
    <row r="8" spans="1:4">
      <c r="A8" s="67" t="s">
        <v>9</v>
      </c>
      <c r="B8" s="67">
        <v>22</v>
      </c>
      <c r="C8" s="69">
        <f>B8/135</f>
        <v>0.16296296296296298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A4E72-A48A-484B-B773-7AD6BF46BAFB}">
  <dimension ref="A1:M143"/>
  <sheetViews>
    <sheetView zoomScale="85" zoomScaleNormal="85" workbookViewId="0">
      <pane xSplit="1" ySplit="1" topLeftCell="B28" activePane="bottomRight" state="frozen"/>
      <selection pane="bottomRight"/>
      <selection pane="bottomLeft"/>
      <selection pane="topRight"/>
    </sheetView>
  </sheetViews>
  <sheetFormatPr defaultRowHeight="15"/>
  <cols>
    <col min="1" max="1" width="16.42578125" style="3" customWidth="1"/>
    <col min="2" max="2" width="5.5703125" style="4" customWidth="1"/>
    <col min="3" max="3" width="40.140625" style="3" customWidth="1"/>
    <col min="4" max="4" width="20.140625" style="3" customWidth="1"/>
    <col min="5" max="5" width="38.140625" style="3" customWidth="1"/>
    <col min="6" max="6" width="34" style="3" customWidth="1"/>
    <col min="7" max="7" width="9.140625" style="4" customWidth="1"/>
    <col min="8" max="8" width="26.7109375" customWidth="1"/>
    <col min="9" max="9" width="29.7109375" style="4" customWidth="1"/>
    <col min="10" max="10" width="9.140625" customWidth="1"/>
    <col min="11" max="11" width="44.42578125" customWidth="1"/>
    <col min="12" max="12" width="9.140625" customWidth="1"/>
    <col min="13" max="13" width="25.7109375" style="11" customWidth="1"/>
  </cols>
  <sheetData>
    <row r="1" spans="1:13" s="1" customFormat="1" ht="60">
      <c r="A1" s="2" t="s">
        <v>10</v>
      </c>
      <c r="B1" s="5" t="s">
        <v>11</v>
      </c>
      <c r="C1" s="2" t="s">
        <v>12</v>
      </c>
      <c r="D1" s="2" t="s">
        <v>13</v>
      </c>
      <c r="E1" s="2" t="s">
        <v>14</v>
      </c>
      <c r="F1" s="2" t="s">
        <v>15</v>
      </c>
      <c r="G1" s="5" t="s">
        <v>16</v>
      </c>
      <c r="H1" s="1" t="s">
        <v>17</v>
      </c>
      <c r="I1" s="5" t="s">
        <v>18</v>
      </c>
      <c r="J1" s="5" t="s">
        <v>19</v>
      </c>
      <c r="K1" s="5" t="s">
        <v>20</v>
      </c>
      <c r="L1" s="1" t="s">
        <v>21</v>
      </c>
      <c r="M1" s="44" t="s">
        <v>22</v>
      </c>
    </row>
    <row r="2" spans="1:13" ht="409.6">
      <c r="A2" s="6" t="s">
        <v>23</v>
      </c>
      <c r="C2" s="6" t="s">
        <v>24</v>
      </c>
      <c r="D2" s="6" t="s">
        <v>25</v>
      </c>
      <c r="E2" s="3" t="s">
        <v>26</v>
      </c>
      <c r="F2" s="3" t="s">
        <v>27</v>
      </c>
      <c r="G2" s="4" t="s">
        <v>28</v>
      </c>
      <c r="I2" s="4" t="s">
        <v>29</v>
      </c>
      <c r="J2" s="4"/>
      <c r="K2" s="4"/>
    </row>
    <row r="3" spans="1:13" ht="33.75" customHeight="1">
      <c r="A3" s="6" t="s">
        <v>30</v>
      </c>
      <c r="C3" s="6" t="s">
        <v>31</v>
      </c>
      <c r="D3" s="6" t="s">
        <v>32</v>
      </c>
      <c r="E3" s="3" t="s">
        <v>26</v>
      </c>
      <c r="F3" s="3" t="s">
        <v>27</v>
      </c>
      <c r="G3" s="4" t="s">
        <v>33</v>
      </c>
      <c r="I3" s="4" t="s">
        <v>29</v>
      </c>
      <c r="J3" s="4"/>
      <c r="K3" s="4"/>
    </row>
    <row r="4" spans="1:13" ht="150">
      <c r="A4" s="6" t="s">
        <v>34</v>
      </c>
      <c r="C4" s="6" t="s">
        <v>31</v>
      </c>
      <c r="D4" s="6" t="s">
        <v>35</v>
      </c>
      <c r="E4" s="3" t="s">
        <v>36</v>
      </c>
      <c r="F4" s="3" t="s">
        <v>34</v>
      </c>
      <c r="I4" s="4" t="s">
        <v>37</v>
      </c>
      <c r="J4" s="4"/>
      <c r="K4" s="4"/>
      <c r="M4" s="13" t="s">
        <v>38</v>
      </c>
    </row>
    <row r="5" spans="1:13" ht="90">
      <c r="A5" s="6" t="s">
        <v>39</v>
      </c>
      <c r="C5" s="6" t="s">
        <v>40</v>
      </c>
      <c r="D5" s="6" t="s">
        <v>41</v>
      </c>
      <c r="E5" s="4" t="s">
        <v>42</v>
      </c>
      <c r="F5" s="3" t="s">
        <v>43</v>
      </c>
      <c r="I5" s="4" t="s">
        <v>29</v>
      </c>
      <c r="J5" s="4"/>
      <c r="K5" s="4"/>
      <c r="M5" s="13" t="s">
        <v>44</v>
      </c>
    </row>
    <row r="6" spans="1:13" ht="105">
      <c r="A6" s="25" t="s">
        <v>45</v>
      </c>
      <c r="B6" s="26"/>
      <c r="C6" s="25" t="s">
        <v>31</v>
      </c>
      <c r="D6" s="25" t="s">
        <v>46</v>
      </c>
      <c r="E6" s="26" t="s">
        <v>47</v>
      </c>
      <c r="F6" s="27" t="s">
        <v>48</v>
      </c>
      <c r="G6" s="26" t="s">
        <v>49</v>
      </c>
      <c r="H6" s="28"/>
      <c r="I6" s="26" t="s">
        <v>50</v>
      </c>
      <c r="J6" s="26" t="s">
        <v>51</v>
      </c>
      <c r="K6" s="26" t="s">
        <v>52</v>
      </c>
      <c r="L6" s="10"/>
      <c r="M6" s="13" t="s">
        <v>53</v>
      </c>
    </row>
    <row r="7" spans="1:13" ht="105">
      <c r="A7" s="32" t="s">
        <v>54</v>
      </c>
      <c r="B7" s="33"/>
      <c r="C7" s="32" t="s">
        <v>55</v>
      </c>
      <c r="D7" s="32" t="s">
        <v>56</v>
      </c>
      <c r="E7" s="33" t="s">
        <v>57</v>
      </c>
      <c r="F7" s="33" t="s">
        <v>58</v>
      </c>
      <c r="G7" s="33" t="s">
        <v>59</v>
      </c>
      <c r="H7" s="35"/>
      <c r="I7" s="33" t="s">
        <v>50</v>
      </c>
      <c r="J7" s="33"/>
      <c r="K7" s="33" t="s">
        <v>60</v>
      </c>
      <c r="L7" s="10"/>
      <c r="M7" s="13" t="s">
        <v>61</v>
      </c>
    </row>
    <row r="8" spans="1:13" ht="105">
      <c r="A8" s="32" t="s">
        <v>62</v>
      </c>
      <c r="B8" s="33"/>
      <c r="C8" s="32" t="s">
        <v>63</v>
      </c>
      <c r="D8" s="32" t="s">
        <v>64</v>
      </c>
      <c r="E8" s="33" t="s">
        <v>65</v>
      </c>
      <c r="F8" s="33" t="s">
        <v>66</v>
      </c>
      <c r="G8" s="33" t="s">
        <v>59</v>
      </c>
      <c r="H8" s="35"/>
      <c r="I8" s="33" t="s">
        <v>50</v>
      </c>
      <c r="J8" s="33"/>
      <c r="K8" s="33" t="s">
        <v>67</v>
      </c>
      <c r="L8" s="10"/>
      <c r="M8" s="13" t="s">
        <v>68</v>
      </c>
    </row>
    <row r="9" spans="1:13" ht="174">
      <c r="A9" s="32" t="s">
        <v>69</v>
      </c>
      <c r="B9" s="33"/>
      <c r="C9" s="32" t="s">
        <v>63</v>
      </c>
      <c r="D9" s="32" t="s">
        <v>70</v>
      </c>
      <c r="E9" s="34" t="s">
        <v>71</v>
      </c>
      <c r="F9" s="34" t="s">
        <v>72</v>
      </c>
      <c r="G9" s="33"/>
      <c r="H9" s="35"/>
      <c r="I9" s="33"/>
      <c r="J9" s="33" t="s">
        <v>73</v>
      </c>
      <c r="K9" s="36" t="s">
        <v>74</v>
      </c>
      <c r="L9" s="10"/>
      <c r="M9" s="13" t="s">
        <v>75</v>
      </c>
    </row>
    <row r="10" spans="1:13" ht="159">
      <c r="A10" s="6" t="s">
        <v>69</v>
      </c>
      <c r="C10" s="6" t="s">
        <v>63</v>
      </c>
      <c r="D10" s="6" t="s">
        <v>76</v>
      </c>
      <c r="E10" s="4" t="s">
        <v>77</v>
      </c>
      <c r="F10" s="3" t="s">
        <v>72</v>
      </c>
      <c r="I10" s="4" t="s">
        <v>78</v>
      </c>
      <c r="J10" s="4" t="s">
        <v>79</v>
      </c>
      <c r="K10" s="4"/>
    </row>
    <row r="11" spans="1:13">
      <c r="A11" s="6" t="s">
        <v>80</v>
      </c>
      <c r="C11" s="6" t="s">
        <v>81</v>
      </c>
      <c r="D11" s="6" t="s">
        <v>82</v>
      </c>
      <c r="E11" s="3" t="s">
        <v>83</v>
      </c>
      <c r="F11" s="3" t="s">
        <v>84</v>
      </c>
      <c r="I11" s="4" t="s">
        <v>50</v>
      </c>
      <c r="J11" s="4"/>
      <c r="K11" s="4"/>
    </row>
    <row r="12" spans="1:13">
      <c r="A12" s="6" t="s">
        <v>85</v>
      </c>
      <c r="C12" s="6" t="s">
        <v>81</v>
      </c>
      <c r="D12" s="6" t="s">
        <v>86</v>
      </c>
      <c r="E12" s="3" t="s">
        <v>87</v>
      </c>
      <c r="F12" s="3" t="s">
        <v>88</v>
      </c>
      <c r="I12" s="4" t="s">
        <v>50</v>
      </c>
      <c r="J12" s="4"/>
      <c r="K12" s="4"/>
    </row>
    <row r="13" spans="1:13" ht="43.5">
      <c r="A13" s="20" t="s">
        <v>89</v>
      </c>
      <c r="B13" s="21"/>
      <c r="C13" s="20" t="s">
        <v>90</v>
      </c>
      <c r="D13" s="20" t="s">
        <v>91</v>
      </c>
      <c r="E13" s="22" t="s">
        <v>92</v>
      </c>
      <c r="F13" s="22" t="s">
        <v>93</v>
      </c>
      <c r="G13" s="21"/>
      <c r="H13" s="23"/>
      <c r="I13" s="21" t="s">
        <v>29</v>
      </c>
      <c r="J13" s="21" t="s">
        <v>94</v>
      </c>
      <c r="K13" s="21" t="s">
        <v>95</v>
      </c>
      <c r="L13" s="10"/>
      <c r="M13" s="13" t="s">
        <v>96</v>
      </c>
    </row>
    <row r="14" spans="1:13" ht="45">
      <c r="A14" s="6" t="s">
        <v>97</v>
      </c>
      <c r="C14" s="6" t="s">
        <v>90</v>
      </c>
      <c r="D14" s="6" t="s">
        <v>98</v>
      </c>
      <c r="E14" s="3" t="s">
        <v>71</v>
      </c>
      <c r="F14" s="3" t="s">
        <v>99</v>
      </c>
      <c r="J14" s="4" t="s">
        <v>100</v>
      </c>
      <c r="K14" s="4"/>
    </row>
    <row r="15" spans="1:13" ht="30">
      <c r="A15" s="6" t="s">
        <v>101</v>
      </c>
      <c r="C15" s="6" t="s">
        <v>90</v>
      </c>
      <c r="D15" s="6" t="s">
        <v>102</v>
      </c>
      <c r="E15" s="3" t="s">
        <v>71</v>
      </c>
      <c r="F15" s="3" t="s">
        <v>103</v>
      </c>
      <c r="J15" s="4" t="s">
        <v>100</v>
      </c>
      <c r="K15" s="4"/>
    </row>
    <row r="16" spans="1:13" ht="90">
      <c r="A16" t="s">
        <v>104</v>
      </c>
      <c r="B16"/>
      <c r="C16" s="11" t="s">
        <v>31</v>
      </c>
      <c r="D16" s="11" t="s">
        <v>105</v>
      </c>
      <c r="E16" s="11" t="s">
        <v>106</v>
      </c>
      <c r="F16" s="11" t="s">
        <v>107</v>
      </c>
      <c r="G16"/>
      <c r="I16" t="s">
        <v>108</v>
      </c>
      <c r="J16" s="11" t="s">
        <v>109</v>
      </c>
      <c r="K16" s="37" t="s">
        <v>110</v>
      </c>
    </row>
    <row r="17" spans="1:13" ht="195">
      <c r="A17" s="6" t="s">
        <v>111</v>
      </c>
      <c r="C17" s="6" t="s">
        <v>63</v>
      </c>
      <c r="D17" s="6" t="s">
        <v>112</v>
      </c>
      <c r="E17" s="3" t="s">
        <v>71</v>
      </c>
      <c r="F17" s="3" t="s">
        <v>113</v>
      </c>
      <c r="J17" s="4" t="s">
        <v>100</v>
      </c>
      <c r="K17" s="4"/>
    </row>
    <row r="18" spans="1:13" ht="30">
      <c r="A18" s="6" t="s">
        <v>114</v>
      </c>
      <c r="C18" s="6" t="s">
        <v>55</v>
      </c>
      <c r="D18" s="6" t="s">
        <v>115</v>
      </c>
      <c r="E18" s="3" t="s">
        <v>116</v>
      </c>
      <c r="F18" s="3" t="s">
        <v>117</v>
      </c>
      <c r="I18" s="4" t="s">
        <v>50</v>
      </c>
    </row>
    <row r="19" spans="1:13" ht="60">
      <c r="A19" s="32" t="s">
        <v>118</v>
      </c>
      <c r="B19" s="33"/>
      <c r="C19" s="32" t="s">
        <v>55</v>
      </c>
      <c r="D19" s="32" t="s">
        <v>119</v>
      </c>
      <c r="E19" s="34"/>
      <c r="F19" s="34"/>
      <c r="G19" s="33"/>
      <c r="H19" s="35"/>
      <c r="I19" s="33" t="s">
        <v>29</v>
      </c>
      <c r="J19" s="37" t="s">
        <v>120</v>
      </c>
      <c r="K19" s="37" t="s">
        <v>121</v>
      </c>
      <c r="L19" s="18" t="s">
        <v>122</v>
      </c>
      <c r="M19" s="13" t="s">
        <v>96</v>
      </c>
    </row>
    <row r="20" spans="1:13" ht="90">
      <c r="A20" s="31" t="s">
        <v>123</v>
      </c>
      <c r="B20" s="31"/>
      <c r="C20" s="31" t="s">
        <v>55</v>
      </c>
      <c r="D20" s="31" t="s">
        <v>124</v>
      </c>
      <c r="E20" s="31"/>
      <c r="F20" s="31"/>
      <c r="G20" s="31"/>
      <c r="H20" s="31"/>
      <c r="I20" s="31" t="s">
        <v>29</v>
      </c>
      <c r="J20" s="31" t="s">
        <v>125</v>
      </c>
      <c r="K20" s="31"/>
      <c r="L20" s="31"/>
      <c r="M20" s="31" t="s">
        <v>126</v>
      </c>
    </row>
    <row r="21" spans="1:13">
      <c r="A21" s="6" t="s">
        <v>127</v>
      </c>
      <c r="C21" s="6" t="s">
        <v>81</v>
      </c>
      <c r="D21" s="6" t="s">
        <v>128</v>
      </c>
      <c r="E21" s="3" t="s">
        <v>26</v>
      </c>
      <c r="F21" s="3" t="s">
        <v>129</v>
      </c>
      <c r="I21" s="4" t="s">
        <v>29</v>
      </c>
    </row>
    <row r="22" spans="1:13" ht="75">
      <c r="A22" s="6" t="s">
        <v>130</v>
      </c>
      <c r="C22" s="6" t="s">
        <v>81</v>
      </c>
      <c r="D22" s="6" t="s">
        <v>131</v>
      </c>
      <c r="E22" s="3" t="s">
        <v>132</v>
      </c>
      <c r="F22" s="3" t="s">
        <v>133</v>
      </c>
      <c r="I22" s="4" t="s">
        <v>50</v>
      </c>
      <c r="J22" t="s">
        <v>134</v>
      </c>
      <c r="M22" s="13" t="s">
        <v>135</v>
      </c>
    </row>
    <row r="23" spans="1:13" ht="30">
      <c r="A23" s="6" t="s">
        <v>136</v>
      </c>
      <c r="C23" s="6" t="s">
        <v>81</v>
      </c>
      <c r="D23" s="6" t="s">
        <v>137</v>
      </c>
      <c r="E23" s="4" t="s">
        <v>138</v>
      </c>
      <c r="F23" s="3" t="s">
        <v>139</v>
      </c>
      <c r="I23" s="4" t="s">
        <v>50</v>
      </c>
    </row>
    <row r="24" spans="1:13" ht="150">
      <c r="A24" s="32" t="s">
        <v>140</v>
      </c>
      <c r="B24" s="33"/>
      <c r="C24" s="32" t="s">
        <v>81</v>
      </c>
      <c r="D24" s="32" t="s">
        <v>141</v>
      </c>
      <c r="E24" s="43" t="s">
        <v>142</v>
      </c>
      <c r="F24" s="43" t="s">
        <v>143</v>
      </c>
      <c r="G24" s="33" t="s">
        <v>144</v>
      </c>
      <c r="H24" s="35"/>
      <c r="I24" s="33"/>
      <c r="J24" s="37" t="s">
        <v>145</v>
      </c>
      <c r="K24" s="37" t="s">
        <v>146</v>
      </c>
      <c r="L24" s="10"/>
      <c r="M24" s="13" t="s">
        <v>147</v>
      </c>
    </row>
    <row r="25" spans="1:13" ht="105">
      <c r="A25" s="32" t="s">
        <v>148</v>
      </c>
      <c r="B25" s="33"/>
      <c r="C25" s="32" t="s">
        <v>81</v>
      </c>
      <c r="D25" s="32" t="s">
        <v>149</v>
      </c>
      <c r="E25" s="32" t="s">
        <v>150</v>
      </c>
      <c r="F25" s="32" t="s">
        <v>151</v>
      </c>
      <c r="G25" s="33"/>
      <c r="H25" s="35"/>
      <c r="I25" s="33" t="s">
        <v>50</v>
      </c>
      <c r="J25" s="37" t="s">
        <v>152</v>
      </c>
      <c r="K25" s="37" t="s">
        <v>153</v>
      </c>
      <c r="L25" s="10"/>
      <c r="M25" s="13" t="s">
        <v>154</v>
      </c>
    </row>
    <row r="26" spans="1:13" ht="72.75">
      <c r="A26" s="32" t="s">
        <v>155</v>
      </c>
      <c r="B26" s="33"/>
      <c r="C26" s="32" t="s">
        <v>90</v>
      </c>
      <c r="D26" s="32" t="s">
        <v>91</v>
      </c>
      <c r="E26" s="34"/>
      <c r="F26" s="34"/>
      <c r="G26" s="33"/>
      <c r="H26" s="35"/>
      <c r="I26" s="33" t="s">
        <v>29</v>
      </c>
      <c r="J26" s="37" t="s">
        <v>156</v>
      </c>
      <c r="K26" s="37" t="s">
        <v>157</v>
      </c>
      <c r="L26" s="10"/>
      <c r="M26" s="13" t="s">
        <v>158</v>
      </c>
    </row>
    <row r="27" spans="1:13" ht="45">
      <c r="A27" s="20" t="s">
        <v>159</v>
      </c>
      <c r="B27" s="21"/>
      <c r="C27" s="20" t="s">
        <v>90</v>
      </c>
      <c r="D27" s="20" t="s">
        <v>160</v>
      </c>
      <c r="E27" s="22"/>
      <c r="F27" s="22"/>
      <c r="G27" s="21"/>
      <c r="H27" s="23"/>
      <c r="I27" s="21" t="s">
        <v>37</v>
      </c>
      <c r="J27" s="30" t="s">
        <v>161</v>
      </c>
      <c r="K27" s="30" t="s">
        <v>162</v>
      </c>
      <c r="L27" s="10"/>
      <c r="M27" s="13" t="s">
        <v>158</v>
      </c>
    </row>
    <row r="28" spans="1:13" ht="75">
      <c r="A28" s="6" t="s">
        <v>163</v>
      </c>
      <c r="C28" s="6" t="s">
        <v>90</v>
      </c>
      <c r="D28" s="6" t="s">
        <v>164</v>
      </c>
      <c r="E28" s="3" t="s">
        <v>165</v>
      </c>
      <c r="F28" s="3" t="s">
        <v>166</v>
      </c>
      <c r="I28" s="4" t="s">
        <v>37</v>
      </c>
      <c r="M28" s="13" t="s">
        <v>167</v>
      </c>
    </row>
    <row r="29" spans="1:13" ht="43.5">
      <c r="A29" s="32" t="s">
        <v>168</v>
      </c>
      <c r="B29" s="33"/>
      <c r="C29" s="32" t="s">
        <v>90</v>
      </c>
      <c r="D29" s="32" t="s">
        <v>169</v>
      </c>
      <c r="E29" s="34"/>
      <c r="F29" s="34"/>
      <c r="G29" s="33"/>
      <c r="H29" s="35"/>
      <c r="I29" s="33" t="s">
        <v>29</v>
      </c>
      <c r="J29" s="37" t="s">
        <v>170</v>
      </c>
      <c r="K29" s="37" t="s">
        <v>171</v>
      </c>
      <c r="L29" s="10"/>
      <c r="M29" s="13" t="s">
        <v>172</v>
      </c>
    </row>
    <row r="30" spans="1:13" ht="45">
      <c r="A30" s="6" t="s">
        <v>173</v>
      </c>
      <c r="C30" s="6" t="s">
        <v>90</v>
      </c>
      <c r="D30" s="6" t="s">
        <v>174</v>
      </c>
      <c r="I30" s="4" t="s">
        <v>78</v>
      </c>
      <c r="J30" s="11" t="s">
        <v>175</v>
      </c>
      <c r="K30" s="11"/>
    </row>
    <row r="31" spans="1:13">
      <c r="A31" s="6" t="s">
        <v>176</v>
      </c>
      <c r="C31" s="6" t="s">
        <v>90</v>
      </c>
      <c r="D31" s="6" t="s">
        <v>177</v>
      </c>
      <c r="E31" s="3" t="s">
        <v>36</v>
      </c>
      <c r="F31" s="3" t="s">
        <v>178</v>
      </c>
      <c r="H31" t="s">
        <v>179</v>
      </c>
      <c r="I31" s="4" t="s">
        <v>37</v>
      </c>
      <c r="J31" t="s">
        <v>180</v>
      </c>
    </row>
    <row r="32" spans="1:13" ht="29.25">
      <c r="A32" s="32" t="s">
        <v>181</v>
      </c>
      <c r="B32" s="33"/>
      <c r="C32" s="32" t="s">
        <v>90</v>
      </c>
      <c r="D32" s="32" t="s">
        <v>182</v>
      </c>
      <c r="E32" s="34"/>
      <c r="F32" s="34"/>
      <c r="G32" s="33"/>
      <c r="H32" s="35"/>
      <c r="I32" s="33" t="s">
        <v>37</v>
      </c>
      <c r="J32" s="35" t="s">
        <v>183</v>
      </c>
      <c r="K32" s="37" t="s">
        <v>184</v>
      </c>
      <c r="L32" s="19" t="s">
        <v>122</v>
      </c>
      <c r="M32" s="13" t="s">
        <v>185</v>
      </c>
    </row>
    <row r="33" spans="1:13" ht="30">
      <c r="A33" s="6" t="s">
        <v>186</v>
      </c>
      <c r="C33" s="6" t="s">
        <v>90</v>
      </c>
      <c r="D33" s="6" t="s">
        <v>187</v>
      </c>
      <c r="E33" s="46" t="s">
        <v>36</v>
      </c>
      <c r="F33" s="3" t="s">
        <v>188</v>
      </c>
      <c r="J33" s="11" t="s">
        <v>189</v>
      </c>
    </row>
    <row r="34" spans="1:13" ht="45">
      <c r="A34" s="6" t="s">
        <v>190</v>
      </c>
      <c r="C34" s="6" t="s">
        <v>55</v>
      </c>
      <c r="D34" s="6" t="s">
        <v>191</v>
      </c>
      <c r="J34" s="11" t="s">
        <v>192</v>
      </c>
      <c r="K34" s="11"/>
    </row>
    <row r="35" spans="1:13" ht="45">
      <c r="A35" s="32" t="s">
        <v>193</v>
      </c>
      <c r="B35" s="33"/>
      <c r="C35" s="32" t="s">
        <v>63</v>
      </c>
      <c r="D35" s="32" t="s">
        <v>194</v>
      </c>
      <c r="E35" s="34" t="s">
        <v>195</v>
      </c>
      <c r="F35" s="34" t="s">
        <v>196</v>
      </c>
      <c r="G35" s="33" t="s">
        <v>197</v>
      </c>
      <c r="H35" s="35"/>
      <c r="I35" s="33" t="s">
        <v>198</v>
      </c>
      <c r="J35" s="37" t="s">
        <v>199</v>
      </c>
      <c r="K35" s="37" t="s">
        <v>200</v>
      </c>
      <c r="L35" s="10"/>
      <c r="M35" s="13" t="s">
        <v>201</v>
      </c>
    </row>
    <row r="36" spans="1:13" ht="75">
      <c r="A36" s="32" t="s">
        <v>202</v>
      </c>
      <c r="B36" s="33"/>
      <c r="C36" s="32" t="s">
        <v>55</v>
      </c>
      <c r="D36" s="32" t="s">
        <v>203</v>
      </c>
      <c r="E36" s="34" t="s">
        <v>204</v>
      </c>
      <c r="F36" s="34" t="s">
        <v>205</v>
      </c>
      <c r="G36" s="33"/>
      <c r="H36" s="35"/>
      <c r="I36" s="33" t="s">
        <v>78</v>
      </c>
      <c r="J36" s="37" t="s">
        <v>206</v>
      </c>
      <c r="K36" s="37" t="s">
        <v>207</v>
      </c>
      <c r="L36" s="10"/>
      <c r="M36" s="13" t="s">
        <v>158</v>
      </c>
    </row>
    <row r="37" spans="1:13" ht="45">
      <c r="A37" s="6" t="s">
        <v>208</v>
      </c>
      <c r="C37" s="6" t="s">
        <v>55</v>
      </c>
      <c r="D37" s="6" t="s">
        <v>209</v>
      </c>
      <c r="E37" s="3" t="s">
        <v>210</v>
      </c>
      <c r="F37" s="3" t="s">
        <v>211</v>
      </c>
      <c r="G37" s="4" t="s">
        <v>212</v>
      </c>
      <c r="I37" s="4" t="s">
        <v>213</v>
      </c>
      <c r="J37" s="11" t="s">
        <v>214</v>
      </c>
      <c r="K37" s="11"/>
    </row>
    <row r="38" spans="1:13" ht="75">
      <c r="A38" s="32" t="s">
        <v>215</v>
      </c>
      <c r="B38" s="33"/>
      <c r="C38" s="32" t="s">
        <v>55</v>
      </c>
      <c r="D38" s="32" t="s">
        <v>119</v>
      </c>
      <c r="E38" s="34"/>
      <c r="F38" s="34"/>
      <c r="G38" s="33"/>
      <c r="H38" s="35"/>
      <c r="I38" s="33" t="s">
        <v>29</v>
      </c>
      <c r="J38" s="37" t="s">
        <v>216</v>
      </c>
      <c r="K38" s="37" t="s">
        <v>217</v>
      </c>
      <c r="L38" s="18" t="s">
        <v>122</v>
      </c>
      <c r="M38" s="13" t="s">
        <v>218</v>
      </c>
    </row>
    <row r="39" spans="1:13" ht="90">
      <c r="A39" s="32" t="s">
        <v>219</v>
      </c>
      <c r="B39" s="33"/>
      <c r="C39" s="32" t="s">
        <v>55</v>
      </c>
      <c r="D39" s="32" t="s">
        <v>220</v>
      </c>
      <c r="E39" s="34" t="s">
        <v>221</v>
      </c>
      <c r="F39" s="33" t="s">
        <v>222</v>
      </c>
      <c r="G39" s="33" t="s">
        <v>223</v>
      </c>
      <c r="H39" s="35"/>
      <c r="I39" s="33"/>
      <c r="J39" s="37" t="s">
        <v>224</v>
      </c>
      <c r="K39" s="37" t="s">
        <v>225</v>
      </c>
      <c r="L39" s="10"/>
      <c r="M39" s="13" t="s">
        <v>172</v>
      </c>
    </row>
    <row r="40" spans="1:13" ht="45">
      <c r="A40" s="6" t="s">
        <v>226</v>
      </c>
      <c r="C40" s="6" t="s">
        <v>55</v>
      </c>
      <c r="D40" s="6" t="s">
        <v>227</v>
      </c>
      <c r="E40" s="4" t="s">
        <v>228</v>
      </c>
      <c r="F40" s="4" t="s">
        <v>229</v>
      </c>
      <c r="G40" s="4" t="s">
        <v>230</v>
      </c>
      <c r="I40" s="4" t="s">
        <v>50</v>
      </c>
      <c r="J40" s="11" t="s">
        <v>231</v>
      </c>
      <c r="K40" s="11"/>
    </row>
    <row r="41" spans="1:13" ht="45">
      <c r="A41" s="6" t="s">
        <v>232</v>
      </c>
      <c r="C41" s="6" t="s">
        <v>81</v>
      </c>
      <c r="D41" s="6" t="s">
        <v>233</v>
      </c>
      <c r="J41" s="11" t="s">
        <v>192</v>
      </c>
      <c r="K41" s="11"/>
    </row>
    <row r="42" spans="1:13">
      <c r="A42" s="6" t="s">
        <v>234</v>
      </c>
      <c r="C42" s="6" t="s">
        <v>81</v>
      </c>
      <c r="D42" s="6" t="s">
        <v>128</v>
      </c>
      <c r="E42" s="3" t="s">
        <v>26</v>
      </c>
      <c r="F42" s="3" t="s">
        <v>234</v>
      </c>
      <c r="I42" s="4" t="s">
        <v>29</v>
      </c>
    </row>
    <row r="43" spans="1:13" ht="75">
      <c r="A43" s="32" t="s">
        <v>235</v>
      </c>
      <c r="B43" s="33"/>
      <c r="C43" s="32" t="s">
        <v>81</v>
      </c>
      <c r="D43" s="32" t="s">
        <v>236</v>
      </c>
      <c r="E43" s="33" t="s">
        <v>237</v>
      </c>
      <c r="F43" s="33" t="s">
        <v>238</v>
      </c>
      <c r="G43" s="33" t="s">
        <v>223</v>
      </c>
      <c r="H43" s="35"/>
      <c r="I43" s="33" t="s">
        <v>50</v>
      </c>
      <c r="J43" s="37" t="s">
        <v>239</v>
      </c>
      <c r="K43" s="37" t="s">
        <v>240</v>
      </c>
      <c r="L43" s="10"/>
      <c r="M43" s="13" t="s">
        <v>172</v>
      </c>
    </row>
    <row r="44" spans="1:13">
      <c r="A44" s="17" t="s">
        <v>241</v>
      </c>
      <c r="B44" s="17"/>
      <c r="C44" s="17" t="s">
        <v>81</v>
      </c>
      <c r="D44" s="17" t="s">
        <v>137</v>
      </c>
      <c r="E44" s="17"/>
      <c r="F44" s="17"/>
      <c r="G44" s="17"/>
      <c r="H44" s="17"/>
      <c r="I44" s="17"/>
      <c r="J44" s="17" t="s">
        <v>242</v>
      </c>
      <c r="K44" s="17"/>
      <c r="L44" s="17"/>
      <c r="M44" s="17" t="s">
        <v>243</v>
      </c>
    </row>
    <row r="45" spans="1:13" ht="45">
      <c r="A45" s="32" t="s">
        <v>244</v>
      </c>
      <c r="B45" s="33"/>
      <c r="C45" s="32" t="s">
        <v>81</v>
      </c>
      <c r="D45" s="32" t="s">
        <v>245</v>
      </c>
      <c r="E45" s="34"/>
      <c r="F45" s="34"/>
      <c r="G45" s="33"/>
      <c r="H45" s="35"/>
      <c r="I45" s="33" t="s">
        <v>50</v>
      </c>
      <c r="J45" s="33" t="s">
        <v>246</v>
      </c>
      <c r="K45" s="33" t="s">
        <v>247</v>
      </c>
      <c r="L45" s="10"/>
      <c r="M45" s="13" t="s">
        <v>248</v>
      </c>
    </row>
    <row r="46" spans="1:13" ht="30">
      <c r="A46" s="14" t="s">
        <v>249</v>
      </c>
      <c r="B46" s="15"/>
      <c r="C46" s="14" t="s">
        <v>81</v>
      </c>
      <c r="D46" s="14" t="s">
        <v>250</v>
      </c>
      <c r="E46" s="16"/>
      <c r="F46" s="16"/>
      <c r="G46" s="15"/>
      <c r="H46" s="17"/>
      <c r="I46" s="15" t="s">
        <v>50</v>
      </c>
      <c r="J46" s="17" t="s">
        <v>251</v>
      </c>
      <c r="K46" s="17"/>
      <c r="L46" s="17"/>
      <c r="M46" s="17" t="s">
        <v>243</v>
      </c>
    </row>
    <row r="47" spans="1:13" ht="30">
      <c r="A47" s="6" t="s">
        <v>252</v>
      </c>
      <c r="C47" s="6" t="s">
        <v>90</v>
      </c>
      <c r="D47" s="6" t="s">
        <v>253</v>
      </c>
      <c r="E47" s="4" t="s">
        <v>254</v>
      </c>
      <c r="F47" s="3" t="s">
        <v>255</v>
      </c>
      <c r="G47" s="4" t="s">
        <v>256</v>
      </c>
      <c r="I47" s="4" t="s">
        <v>213</v>
      </c>
    </row>
    <row r="48" spans="1:13" ht="30">
      <c r="A48" s="20" t="s">
        <v>257</v>
      </c>
      <c r="B48" s="21"/>
      <c r="C48" s="20" t="s">
        <v>90</v>
      </c>
      <c r="D48" s="20" t="s">
        <v>91</v>
      </c>
      <c r="E48" s="22"/>
      <c r="F48" s="22"/>
      <c r="G48" s="21"/>
      <c r="H48" s="23"/>
      <c r="I48" s="21" t="s">
        <v>29</v>
      </c>
      <c r="J48" s="23" t="s">
        <v>126</v>
      </c>
      <c r="K48" s="23" t="s">
        <v>258</v>
      </c>
      <c r="L48" s="10"/>
      <c r="M48" s="13" t="s">
        <v>172</v>
      </c>
    </row>
    <row r="49" spans="1:13" ht="115.5">
      <c r="A49" s="32" t="s">
        <v>259</v>
      </c>
      <c r="B49" s="33"/>
      <c r="C49" s="32" t="s">
        <v>90</v>
      </c>
      <c r="D49" s="32" t="s">
        <v>260</v>
      </c>
      <c r="E49" s="33" t="s">
        <v>261</v>
      </c>
      <c r="F49" s="33" t="s">
        <v>262</v>
      </c>
      <c r="G49" s="33" t="s">
        <v>223</v>
      </c>
      <c r="H49" s="35"/>
      <c r="I49" s="33" t="s">
        <v>50</v>
      </c>
      <c r="J49" s="35" t="s">
        <v>263</v>
      </c>
      <c r="K49" s="37" t="s">
        <v>264</v>
      </c>
      <c r="L49" s="10"/>
      <c r="M49" s="13" t="s">
        <v>172</v>
      </c>
    </row>
    <row r="50" spans="1:13" ht="360">
      <c r="A50" s="20" t="s">
        <v>265</v>
      </c>
      <c r="B50" s="21"/>
      <c r="C50" s="20" t="s">
        <v>90</v>
      </c>
      <c r="D50" s="20" t="s">
        <v>160</v>
      </c>
      <c r="E50" s="22" t="s">
        <v>266</v>
      </c>
      <c r="F50" s="22" t="s">
        <v>267</v>
      </c>
      <c r="G50" s="21"/>
      <c r="H50" s="23"/>
      <c r="I50" s="21" t="s">
        <v>50</v>
      </c>
      <c r="J50" s="30" t="s">
        <v>268</v>
      </c>
      <c r="K50" s="30" t="s">
        <v>162</v>
      </c>
      <c r="L50" s="45" t="s">
        <v>269</v>
      </c>
      <c r="M50" s="13" t="s">
        <v>270</v>
      </c>
    </row>
    <row r="51" spans="1:13" ht="45">
      <c r="A51" s="32" t="s">
        <v>271</v>
      </c>
      <c r="B51" s="33"/>
      <c r="C51" s="32" t="s">
        <v>90</v>
      </c>
      <c r="D51" s="32" t="s">
        <v>164</v>
      </c>
      <c r="E51" s="34" t="s">
        <v>272</v>
      </c>
      <c r="F51" s="33" t="s">
        <v>273</v>
      </c>
      <c r="G51" s="33"/>
      <c r="H51" s="35"/>
      <c r="I51" s="33" t="s">
        <v>29</v>
      </c>
      <c r="J51" s="37" t="s">
        <v>274</v>
      </c>
      <c r="K51" s="37" t="s">
        <v>275</v>
      </c>
      <c r="L51" s="10"/>
      <c r="M51" s="13" t="s">
        <v>172</v>
      </c>
    </row>
    <row r="52" spans="1:13" ht="75">
      <c r="A52" s="6" t="s">
        <v>276</v>
      </c>
      <c r="C52" s="6" t="s">
        <v>277</v>
      </c>
      <c r="D52" s="6" t="s">
        <v>278</v>
      </c>
      <c r="E52" s="4" t="s">
        <v>279</v>
      </c>
      <c r="F52" s="4" t="s">
        <v>280</v>
      </c>
      <c r="I52" s="4" t="s">
        <v>50</v>
      </c>
      <c r="J52" s="11" t="s">
        <v>281</v>
      </c>
      <c r="K52" s="11"/>
    </row>
    <row r="53" spans="1:13" ht="90">
      <c r="A53" s="20" t="s">
        <v>282</v>
      </c>
      <c r="B53" s="21"/>
      <c r="C53" s="20" t="s">
        <v>90</v>
      </c>
      <c r="D53" s="20" t="s">
        <v>174</v>
      </c>
      <c r="E53" s="22"/>
      <c r="F53" s="22"/>
      <c r="G53" s="21"/>
      <c r="H53" s="23"/>
      <c r="I53" s="21" t="s">
        <v>50</v>
      </c>
      <c r="J53" s="30" t="s">
        <v>283</v>
      </c>
      <c r="K53" s="30" t="s">
        <v>284</v>
      </c>
      <c r="L53" s="10"/>
      <c r="M53" s="13" t="s">
        <v>285</v>
      </c>
    </row>
    <row r="54" spans="1:13" ht="105">
      <c r="A54" s="20" t="s">
        <v>286</v>
      </c>
      <c r="B54" s="21"/>
      <c r="C54" s="20" t="s">
        <v>90</v>
      </c>
      <c r="D54" s="20" t="s">
        <v>177</v>
      </c>
      <c r="E54" s="21" t="s">
        <v>287</v>
      </c>
      <c r="F54" s="21" t="s">
        <v>288</v>
      </c>
      <c r="G54" s="21"/>
      <c r="H54" s="23"/>
      <c r="I54" s="21" t="s">
        <v>37</v>
      </c>
      <c r="J54" s="30" t="s">
        <v>289</v>
      </c>
      <c r="K54" s="30" t="s">
        <v>290</v>
      </c>
      <c r="L54" s="10"/>
      <c r="M54" s="13" t="s">
        <v>291</v>
      </c>
    </row>
    <row r="55" spans="1:13" ht="105">
      <c r="A55" s="20" t="s">
        <v>292</v>
      </c>
      <c r="B55" s="21"/>
      <c r="C55" s="20" t="s">
        <v>90</v>
      </c>
      <c r="D55" s="20" t="s">
        <v>182</v>
      </c>
      <c r="E55" s="22"/>
      <c r="F55" s="22"/>
      <c r="G55" s="21"/>
      <c r="H55" s="23"/>
      <c r="I55" s="21" t="s">
        <v>37</v>
      </c>
      <c r="J55" s="30" t="s">
        <v>293</v>
      </c>
      <c r="K55" s="30" t="s">
        <v>294</v>
      </c>
      <c r="L55" s="19" t="s">
        <v>122</v>
      </c>
      <c r="M55" s="13" t="s">
        <v>295</v>
      </c>
    </row>
    <row r="56" spans="1:13" ht="101.25">
      <c r="A56" s="57" t="s">
        <v>296</v>
      </c>
      <c r="B56" s="58"/>
      <c r="C56" s="57" t="s">
        <v>90</v>
      </c>
      <c r="D56" s="57" t="s">
        <v>187</v>
      </c>
      <c r="E56" s="59"/>
      <c r="F56" s="59"/>
      <c r="G56" s="58"/>
      <c r="H56" s="60"/>
      <c r="I56" s="58" t="s">
        <v>37</v>
      </c>
      <c r="J56" s="61" t="s">
        <v>297</v>
      </c>
      <c r="K56" s="61" t="s">
        <v>298</v>
      </c>
      <c r="L56" s="10"/>
      <c r="M56" s="13" t="s">
        <v>299</v>
      </c>
    </row>
    <row r="57" spans="1:13" ht="45">
      <c r="A57" s="20" t="s">
        <v>300</v>
      </c>
      <c r="B57" s="21"/>
      <c r="C57" s="20" t="s">
        <v>90</v>
      </c>
      <c r="D57" s="20" t="s">
        <v>301</v>
      </c>
      <c r="E57" s="22" t="s">
        <v>302</v>
      </c>
      <c r="F57" s="21" t="s">
        <v>303</v>
      </c>
      <c r="G57" s="21"/>
      <c r="H57" s="23"/>
      <c r="I57" s="21" t="s">
        <v>50</v>
      </c>
      <c r="J57" s="30" t="s">
        <v>304</v>
      </c>
      <c r="K57" s="30" t="s">
        <v>305</v>
      </c>
      <c r="L57" s="10"/>
      <c r="M57" s="13" t="s">
        <v>306</v>
      </c>
    </row>
    <row r="58" spans="1:13" ht="30">
      <c r="A58" s="6" t="s">
        <v>307</v>
      </c>
      <c r="C58" s="6" t="s">
        <v>55</v>
      </c>
      <c r="D58" s="6" t="s">
        <v>191</v>
      </c>
      <c r="E58" s="3" t="s">
        <v>308</v>
      </c>
      <c r="I58" s="4" t="s">
        <v>50</v>
      </c>
      <c r="J58" t="s">
        <v>309</v>
      </c>
    </row>
    <row r="59" spans="1:13" ht="30">
      <c r="A59" s="32" t="s">
        <v>310</v>
      </c>
      <c r="B59" s="33"/>
      <c r="C59" s="32" t="s">
        <v>55</v>
      </c>
      <c r="D59" s="32" t="s">
        <v>311</v>
      </c>
      <c r="E59" s="34" t="s">
        <v>195</v>
      </c>
      <c r="F59" s="33" t="s">
        <v>312</v>
      </c>
      <c r="G59" s="33"/>
      <c r="H59" s="35"/>
      <c r="I59" s="33" t="s">
        <v>29</v>
      </c>
      <c r="J59" s="37" t="s">
        <v>199</v>
      </c>
      <c r="K59" s="37" t="s">
        <v>313</v>
      </c>
      <c r="L59" s="10"/>
      <c r="M59" s="47" t="s">
        <v>314</v>
      </c>
    </row>
    <row r="60" spans="1:13" ht="75">
      <c r="A60" s="32" t="s">
        <v>315</v>
      </c>
      <c r="B60" s="33"/>
      <c r="C60" s="32" t="s">
        <v>55</v>
      </c>
      <c r="D60" s="32" t="s">
        <v>203</v>
      </c>
      <c r="E60" s="33" t="s">
        <v>316</v>
      </c>
      <c r="F60" s="33" t="s">
        <v>317</v>
      </c>
      <c r="G60" s="33" t="s">
        <v>223</v>
      </c>
      <c r="H60" s="35"/>
      <c r="I60" s="33" t="s">
        <v>50</v>
      </c>
      <c r="J60" s="37" t="s">
        <v>318</v>
      </c>
      <c r="K60" s="37" t="s">
        <v>319</v>
      </c>
      <c r="L60" s="10"/>
      <c r="M60" s="13" t="s">
        <v>320</v>
      </c>
    </row>
    <row r="61" spans="1:13" ht="60">
      <c r="A61" s="14" t="s">
        <v>321</v>
      </c>
      <c r="B61" s="15"/>
      <c r="C61" s="14" t="s">
        <v>55</v>
      </c>
      <c r="D61" s="14" t="s">
        <v>115</v>
      </c>
      <c r="E61" s="16"/>
      <c r="F61" s="16"/>
      <c r="G61" s="15"/>
      <c r="H61" s="17"/>
      <c r="I61" s="15" t="s">
        <v>50</v>
      </c>
      <c r="J61" s="31" t="s">
        <v>322</v>
      </c>
      <c r="K61" s="31"/>
      <c r="L61" s="17"/>
      <c r="M61" s="31" t="s">
        <v>9</v>
      </c>
    </row>
    <row r="62" spans="1:13" ht="45">
      <c r="A62" s="14" t="s">
        <v>323</v>
      </c>
      <c r="B62" s="15"/>
      <c r="C62" s="14" t="s">
        <v>55</v>
      </c>
      <c r="D62" s="14" t="s">
        <v>56</v>
      </c>
      <c r="E62" s="16"/>
      <c r="F62" s="16"/>
      <c r="G62" s="15"/>
      <c r="H62" s="17"/>
      <c r="I62" s="15" t="s">
        <v>50</v>
      </c>
      <c r="J62" s="15" t="s">
        <v>246</v>
      </c>
      <c r="K62" s="15"/>
      <c r="L62" s="17"/>
      <c r="M62" s="31" t="s">
        <v>324</v>
      </c>
    </row>
    <row r="63" spans="1:13" ht="45">
      <c r="A63" s="6" t="s">
        <v>325</v>
      </c>
      <c r="C63" s="6" t="s">
        <v>55</v>
      </c>
      <c r="D63" s="6" t="s">
        <v>209</v>
      </c>
      <c r="E63" s="3" t="s">
        <v>326</v>
      </c>
      <c r="F63" s="3" t="s">
        <v>327</v>
      </c>
      <c r="G63" s="4" t="s">
        <v>328</v>
      </c>
      <c r="I63" s="4" t="s">
        <v>213</v>
      </c>
      <c r="J63" s="11" t="s">
        <v>329</v>
      </c>
      <c r="K63" s="11"/>
    </row>
    <row r="64" spans="1:13" ht="150">
      <c r="A64" s="20" t="s">
        <v>330</v>
      </c>
      <c r="B64" s="21"/>
      <c r="C64" s="20" t="s">
        <v>55</v>
      </c>
      <c r="D64" s="20" t="s">
        <v>119</v>
      </c>
      <c r="E64" s="22"/>
      <c r="F64" s="22"/>
      <c r="G64" s="21"/>
      <c r="H64" s="23"/>
      <c r="I64" s="21" t="s">
        <v>29</v>
      </c>
      <c r="J64" s="30" t="s">
        <v>331</v>
      </c>
      <c r="K64" s="63" t="s">
        <v>332</v>
      </c>
      <c r="L64" s="18"/>
      <c r="M64" s="13" t="s">
        <v>333</v>
      </c>
    </row>
    <row r="65" spans="1:13" ht="45">
      <c r="A65" s="14" t="s">
        <v>334</v>
      </c>
      <c r="B65" s="15"/>
      <c r="C65" s="14" t="s">
        <v>55</v>
      </c>
      <c r="D65" s="14" t="s">
        <v>220</v>
      </c>
      <c r="E65" s="16"/>
      <c r="F65" s="16"/>
      <c r="G65" s="15"/>
      <c r="H65" s="17"/>
      <c r="I65" s="15" t="s">
        <v>50</v>
      </c>
      <c r="J65" s="15" t="s">
        <v>335</v>
      </c>
      <c r="K65" s="15"/>
      <c r="L65" s="17"/>
      <c r="M65" s="31" t="s">
        <v>9</v>
      </c>
    </row>
    <row r="66" spans="1:13" ht="45">
      <c r="A66" s="6" t="s">
        <v>336</v>
      </c>
      <c r="C66" s="6" t="s">
        <v>55</v>
      </c>
      <c r="D66" s="6" t="s">
        <v>227</v>
      </c>
      <c r="E66" s="4" t="s">
        <v>228</v>
      </c>
      <c r="F66" s="4" t="s">
        <v>229</v>
      </c>
      <c r="G66" s="4" t="s">
        <v>230</v>
      </c>
      <c r="I66" s="4" t="s">
        <v>50</v>
      </c>
      <c r="J66" s="11" t="s">
        <v>231</v>
      </c>
      <c r="K66" s="11"/>
    </row>
    <row r="67" spans="1:13" ht="195">
      <c r="A67" s="32" t="s">
        <v>337</v>
      </c>
      <c r="B67" s="33"/>
      <c r="C67" s="32" t="s">
        <v>55</v>
      </c>
      <c r="D67" s="32" t="s">
        <v>338</v>
      </c>
      <c r="E67" s="34"/>
      <c r="F67" s="34"/>
      <c r="G67" s="33"/>
      <c r="H67" s="35"/>
      <c r="I67" s="33"/>
      <c r="J67" s="35"/>
      <c r="K67" s="43" t="s">
        <v>339</v>
      </c>
      <c r="L67" s="10"/>
      <c r="M67" s="13" t="s">
        <v>340</v>
      </c>
    </row>
    <row r="68" spans="1:13" ht="30">
      <c r="A68" s="14" t="s">
        <v>341</v>
      </c>
      <c r="B68" s="15"/>
      <c r="C68" s="14" t="s">
        <v>55</v>
      </c>
      <c r="D68" s="14" t="s">
        <v>124</v>
      </c>
      <c r="E68" s="16"/>
      <c r="F68" s="16"/>
      <c r="G68" s="15"/>
      <c r="H68" s="17"/>
      <c r="I68" s="15"/>
      <c r="J68" s="17" t="s">
        <v>126</v>
      </c>
      <c r="K68" s="17"/>
      <c r="L68" s="17"/>
      <c r="M68" s="17" t="s">
        <v>243</v>
      </c>
    </row>
    <row r="69" spans="1:13" ht="45">
      <c r="A69" s="6" t="s">
        <v>342</v>
      </c>
      <c r="C69" s="6" t="s">
        <v>343</v>
      </c>
      <c r="D69" s="6" t="s">
        <v>344</v>
      </c>
      <c r="E69" s="3" t="s">
        <v>26</v>
      </c>
      <c r="F69" s="3" t="s">
        <v>345</v>
      </c>
      <c r="I69" s="4" t="s">
        <v>29</v>
      </c>
    </row>
    <row r="70" spans="1:13" ht="30">
      <c r="A70" s="14" t="s">
        <v>346</v>
      </c>
      <c r="B70" s="15"/>
      <c r="C70" s="14" t="s">
        <v>81</v>
      </c>
      <c r="D70" s="14" t="s">
        <v>236</v>
      </c>
      <c r="E70" s="16"/>
      <c r="F70" s="16"/>
      <c r="G70" s="15"/>
      <c r="H70" s="17"/>
      <c r="I70" s="15" t="s">
        <v>50</v>
      </c>
      <c r="J70" s="31" t="s">
        <v>347</v>
      </c>
      <c r="K70" s="31"/>
      <c r="L70" s="17"/>
      <c r="M70" s="31" t="s">
        <v>9</v>
      </c>
    </row>
    <row r="71" spans="1:13">
      <c r="A71" s="14" t="s">
        <v>348</v>
      </c>
      <c r="B71" s="15"/>
      <c r="C71" s="14" t="s">
        <v>81</v>
      </c>
      <c r="D71" s="14" t="s">
        <v>137</v>
      </c>
      <c r="E71" s="16"/>
      <c r="F71" s="16"/>
      <c r="G71" s="15"/>
      <c r="H71" s="17"/>
      <c r="I71" s="15"/>
      <c r="J71" s="17" t="s">
        <v>126</v>
      </c>
      <c r="K71" s="17"/>
      <c r="L71" s="17"/>
      <c r="M71" s="17" t="s">
        <v>243</v>
      </c>
    </row>
    <row r="72" spans="1:13" ht="120">
      <c r="A72" s="14" t="s">
        <v>349</v>
      </c>
      <c r="B72" s="15"/>
      <c r="C72" s="14" t="s">
        <v>81</v>
      </c>
      <c r="D72" s="14" t="s">
        <v>245</v>
      </c>
      <c r="E72" s="16"/>
      <c r="F72" s="16"/>
      <c r="G72" s="15"/>
      <c r="H72" s="17"/>
      <c r="I72" s="15" t="s">
        <v>50</v>
      </c>
      <c r="J72" s="31" t="s">
        <v>350</v>
      </c>
      <c r="K72" s="31"/>
      <c r="L72" s="17"/>
      <c r="M72" s="31" t="s">
        <v>351</v>
      </c>
    </row>
    <row r="73" spans="1:13" ht="45">
      <c r="A73" s="6" t="s">
        <v>352</v>
      </c>
      <c r="C73" s="6" t="s">
        <v>81</v>
      </c>
      <c r="D73" s="6" t="s">
        <v>353</v>
      </c>
      <c r="E73" s="3" t="s">
        <v>210</v>
      </c>
      <c r="F73" s="3" t="s">
        <v>211</v>
      </c>
      <c r="G73" s="4" t="s">
        <v>212</v>
      </c>
      <c r="I73" s="4" t="s">
        <v>213</v>
      </c>
    </row>
    <row r="74" spans="1:13" ht="30">
      <c r="A74" s="6" t="s">
        <v>354</v>
      </c>
      <c r="C74" s="6" t="s">
        <v>81</v>
      </c>
      <c r="D74" s="6" t="s">
        <v>82</v>
      </c>
      <c r="E74" s="3" t="s">
        <v>116</v>
      </c>
      <c r="F74" s="3" t="s">
        <v>355</v>
      </c>
      <c r="G74" s="4" t="s">
        <v>356</v>
      </c>
      <c r="I74" s="4" t="s">
        <v>50</v>
      </c>
      <c r="J74" t="s">
        <v>357</v>
      </c>
    </row>
    <row r="75" spans="1:13" ht="105">
      <c r="A75" s="32" t="s">
        <v>358</v>
      </c>
      <c r="B75" s="33"/>
      <c r="C75" s="32" t="s">
        <v>81</v>
      </c>
      <c r="D75" s="32" t="s">
        <v>86</v>
      </c>
      <c r="E75" s="34" t="s">
        <v>195</v>
      </c>
      <c r="F75" s="33" t="s">
        <v>359</v>
      </c>
      <c r="G75" s="33" t="s">
        <v>360</v>
      </c>
      <c r="H75" s="35"/>
      <c r="I75" s="33" t="s">
        <v>37</v>
      </c>
      <c r="J75" s="35"/>
      <c r="K75" s="37" t="s">
        <v>361</v>
      </c>
      <c r="L75" s="10"/>
      <c r="M75" s="13" t="s">
        <v>340</v>
      </c>
    </row>
    <row r="76" spans="1:13" ht="318">
      <c r="A76" s="32" t="s">
        <v>362</v>
      </c>
      <c r="B76" s="33"/>
      <c r="C76" s="32" t="s">
        <v>81</v>
      </c>
      <c r="D76" s="32" t="s">
        <v>363</v>
      </c>
      <c r="E76" s="34"/>
      <c r="F76" s="34"/>
      <c r="G76" s="33"/>
      <c r="H76" s="35"/>
      <c r="I76" s="33"/>
      <c r="J76" s="64" t="s">
        <v>364</v>
      </c>
      <c r="K76" s="43" t="s">
        <v>365</v>
      </c>
      <c r="L76" s="10"/>
      <c r="M76" s="13" t="s">
        <v>366</v>
      </c>
    </row>
    <row r="77" spans="1:13" ht="30">
      <c r="A77" s="14" t="s">
        <v>367</v>
      </c>
      <c r="B77" s="15"/>
      <c r="C77" s="14" t="s">
        <v>81</v>
      </c>
      <c r="D77" s="14" t="s">
        <v>250</v>
      </c>
      <c r="E77" s="16"/>
      <c r="F77" s="16"/>
      <c r="G77" s="15"/>
      <c r="H77" s="17"/>
      <c r="I77" s="15"/>
      <c r="J77" s="17" t="s">
        <v>126</v>
      </c>
      <c r="K77" s="17"/>
      <c r="L77" s="17"/>
      <c r="M77" s="17" t="s">
        <v>126</v>
      </c>
    </row>
    <row r="78" spans="1:13" ht="60">
      <c r="A78" s="14" t="s">
        <v>368</v>
      </c>
      <c r="B78" s="15"/>
      <c r="C78" s="14" t="s">
        <v>90</v>
      </c>
      <c r="D78" s="14" t="s">
        <v>253</v>
      </c>
      <c r="E78" s="16"/>
      <c r="F78" s="16"/>
      <c r="G78" s="15"/>
      <c r="H78" s="17"/>
      <c r="I78" s="15"/>
      <c r="J78" s="48" t="str">
        <f>"Do not track by cases sold, see " &amp; HYPERLINK(A47)</f>
        <v>Do not track by cases sold, see units_sold</v>
      </c>
      <c r="K78" s="48"/>
      <c r="L78" s="17"/>
      <c r="M78" s="31" t="s">
        <v>369</v>
      </c>
    </row>
    <row r="79" spans="1:13" ht="30">
      <c r="A79" s="6" t="s">
        <v>370</v>
      </c>
      <c r="C79" s="6" t="s">
        <v>90</v>
      </c>
      <c r="D79" s="6" t="s">
        <v>91</v>
      </c>
      <c r="E79" s="4" t="s">
        <v>371</v>
      </c>
      <c r="F79" s="3" t="s">
        <v>372</v>
      </c>
      <c r="J79" t="s">
        <v>373</v>
      </c>
    </row>
    <row r="80" spans="1:13" ht="72.75">
      <c r="A80" s="80" t="s">
        <v>374</v>
      </c>
      <c r="B80" s="15"/>
      <c r="C80" s="14" t="s">
        <v>90</v>
      </c>
      <c r="D80" s="14" t="s">
        <v>260</v>
      </c>
      <c r="E80" s="16"/>
      <c r="F80" s="16"/>
      <c r="G80" s="15"/>
      <c r="H80" s="17"/>
      <c r="I80" s="15"/>
      <c r="J80" s="17"/>
      <c r="K80" s="17"/>
      <c r="L80" s="17"/>
      <c r="M80" s="17" t="s">
        <v>126</v>
      </c>
    </row>
    <row r="81" spans="1:13" ht="240">
      <c r="A81" s="20" t="s">
        <v>375</v>
      </c>
      <c r="B81" s="21"/>
      <c r="C81" s="20" t="s">
        <v>90</v>
      </c>
      <c r="D81" s="20" t="s">
        <v>160</v>
      </c>
      <c r="E81" s="21" t="s">
        <v>376</v>
      </c>
      <c r="F81" s="21" t="s">
        <v>377</v>
      </c>
      <c r="G81" s="21" t="s">
        <v>378</v>
      </c>
      <c r="H81" s="23"/>
      <c r="I81" s="21"/>
      <c r="J81" s="30" t="s">
        <v>379</v>
      </c>
      <c r="K81" s="30" t="s">
        <v>162</v>
      </c>
      <c r="L81" s="45" t="s">
        <v>269</v>
      </c>
      <c r="M81" s="13" t="s">
        <v>270</v>
      </c>
    </row>
    <row r="82" spans="1:13" ht="30">
      <c r="A82" s="6" t="s">
        <v>380</v>
      </c>
      <c r="C82" s="6" t="s">
        <v>90</v>
      </c>
      <c r="D82" s="6" t="s">
        <v>164</v>
      </c>
      <c r="E82" s="4" t="s">
        <v>371</v>
      </c>
      <c r="F82" s="3" t="s">
        <v>372</v>
      </c>
      <c r="I82" s="4" t="s">
        <v>29</v>
      </c>
      <c r="J82" s="54" t="s">
        <v>381</v>
      </c>
      <c r="K82" s="11"/>
    </row>
    <row r="83" spans="1:13" ht="30">
      <c r="A83" s="6" t="s">
        <v>382</v>
      </c>
      <c r="C83" s="6" t="s">
        <v>90</v>
      </c>
      <c r="D83" s="6" t="s">
        <v>169</v>
      </c>
      <c r="E83" s="4" t="s">
        <v>383</v>
      </c>
      <c r="F83" s="4" t="s">
        <v>384</v>
      </c>
      <c r="I83" s="4" t="s">
        <v>50</v>
      </c>
    </row>
    <row r="84" spans="1:13" ht="90">
      <c r="A84" s="20" t="s">
        <v>385</v>
      </c>
      <c r="B84" s="21"/>
      <c r="C84" s="20" t="s">
        <v>90</v>
      </c>
      <c r="D84" s="20" t="s">
        <v>174</v>
      </c>
      <c r="E84" s="22"/>
      <c r="F84" s="22"/>
      <c r="G84" s="21"/>
      <c r="H84" s="23"/>
      <c r="I84" s="21" t="s">
        <v>50</v>
      </c>
      <c r="J84" s="30" t="s">
        <v>283</v>
      </c>
      <c r="K84" s="30" t="s">
        <v>284</v>
      </c>
      <c r="L84" s="10"/>
      <c r="M84" s="13" t="s">
        <v>386</v>
      </c>
    </row>
    <row r="85" spans="1:13" ht="90">
      <c r="A85" s="20" t="s">
        <v>387</v>
      </c>
      <c r="B85" s="21"/>
      <c r="C85" s="20" t="s">
        <v>81</v>
      </c>
      <c r="D85" s="20" t="s">
        <v>82</v>
      </c>
      <c r="E85" s="22"/>
      <c r="F85" s="22"/>
      <c r="G85" s="21"/>
      <c r="H85" s="23"/>
      <c r="I85" s="21" t="s">
        <v>50</v>
      </c>
      <c r="J85" s="30" t="s">
        <v>283</v>
      </c>
      <c r="K85" s="30" t="s">
        <v>284</v>
      </c>
      <c r="L85" s="10"/>
      <c r="M85" s="13" t="s">
        <v>386</v>
      </c>
    </row>
    <row r="86" spans="1:13" ht="75">
      <c r="A86" s="20" t="s">
        <v>388</v>
      </c>
      <c r="B86" s="21"/>
      <c r="C86" s="20" t="s">
        <v>90</v>
      </c>
      <c r="D86" s="20" t="s">
        <v>182</v>
      </c>
      <c r="E86" s="22"/>
      <c r="F86" s="22"/>
      <c r="G86" s="21"/>
      <c r="H86" s="23"/>
      <c r="I86" s="21" t="s">
        <v>37</v>
      </c>
      <c r="J86" s="30" t="s">
        <v>389</v>
      </c>
      <c r="K86" s="30" t="s">
        <v>294</v>
      </c>
      <c r="L86" s="19" t="s">
        <v>122</v>
      </c>
      <c r="M86" s="13" t="s">
        <v>390</v>
      </c>
    </row>
    <row r="87" spans="1:13" ht="90">
      <c r="A87" s="20" t="s">
        <v>391</v>
      </c>
      <c r="B87" s="21"/>
      <c r="C87" s="20" t="s">
        <v>90</v>
      </c>
      <c r="D87" s="20" t="s">
        <v>187</v>
      </c>
      <c r="E87" s="22"/>
      <c r="F87" s="22"/>
      <c r="G87" s="21"/>
      <c r="H87" s="23"/>
      <c r="I87" s="21"/>
      <c r="J87" s="23"/>
      <c r="K87" s="30" t="s">
        <v>392</v>
      </c>
      <c r="L87" s="10"/>
      <c r="M87" s="13" t="s">
        <v>320</v>
      </c>
    </row>
    <row r="88" spans="1:13" ht="45">
      <c r="A88" s="20" t="s">
        <v>393</v>
      </c>
      <c r="B88" s="21"/>
      <c r="C88" s="20" t="s">
        <v>90</v>
      </c>
      <c r="D88" s="20" t="s">
        <v>301</v>
      </c>
      <c r="E88" s="22" t="s">
        <v>302</v>
      </c>
      <c r="F88" s="21" t="s">
        <v>394</v>
      </c>
      <c r="G88" s="21"/>
      <c r="H88" s="23"/>
      <c r="I88" s="21" t="s">
        <v>50</v>
      </c>
      <c r="J88" s="30" t="s">
        <v>304</v>
      </c>
      <c r="K88" s="30" t="s">
        <v>395</v>
      </c>
      <c r="L88" s="23"/>
      <c r="M88" s="13" t="s">
        <v>306</v>
      </c>
    </row>
    <row r="89" spans="1:13" ht="45">
      <c r="A89" s="6" t="s">
        <v>396</v>
      </c>
      <c r="C89" s="6" t="s">
        <v>63</v>
      </c>
      <c r="D89" s="6" t="s">
        <v>397</v>
      </c>
      <c r="E89" s="3" t="s">
        <v>398</v>
      </c>
      <c r="I89" s="4" t="s">
        <v>50</v>
      </c>
      <c r="J89" t="s">
        <v>399</v>
      </c>
    </row>
    <row r="90" spans="1:13" ht="30">
      <c r="A90" s="32" t="s">
        <v>400</v>
      </c>
      <c r="B90" s="33"/>
      <c r="C90" s="32" t="s">
        <v>55</v>
      </c>
      <c r="D90" s="32" t="s">
        <v>311</v>
      </c>
      <c r="E90" s="34" t="s">
        <v>195</v>
      </c>
      <c r="F90" s="33" t="s">
        <v>401</v>
      </c>
      <c r="G90" s="33"/>
      <c r="H90" s="35"/>
      <c r="I90" s="33" t="s">
        <v>29</v>
      </c>
      <c r="J90" s="37" t="s">
        <v>199</v>
      </c>
      <c r="K90" s="37" t="s">
        <v>402</v>
      </c>
      <c r="L90" s="35"/>
      <c r="M90" s="47" t="s">
        <v>314</v>
      </c>
    </row>
    <row r="91" spans="1:13" ht="45">
      <c r="A91" s="32" t="s">
        <v>403</v>
      </c>
      <c r="B91" s="33"/>
      <c r="C91" s="32" t="s">
        <v>55</v>
      </c>
      <c r="D91" s="32" t="s">
        <v>203</v>
      </c>
      <c r="E91" s="34"/>
      <c r="F91" s="34"/>
      <c r="G91" s="33"/>
      <c r="H91" s="35"/>
      <c r="I91" s="33" t="s">
        <v>29</v>
      </c>
      <c r="J91" s="35" t="s">
        <v>404</v>
      </c>
      <c r="K91" s="37" t="s">
        <v>405</v>
      </c>
      <c r="L91" s="35"/>
      <c r="M91" s="13" t="s">
        <v>406</v>
      </c>
    </row>
    <row r="92" spans="1:13" ht="30">
      <c r="A92" s="6" t="s">
        <v>407</v>
      </c>
      <c r="C92" s="6" t="s">
        <v>55</v>
      </c>
      <c r="D92" s="6" t="s">
        <v>115</v>
      </c>
      <c r="E92" s="3" t="s">
        <v>116</v>
      </c>
      <c r="F92" s="3" t="s">
        <v>408</v>
      </c>
      <c r="I92" s="4" t="s">
        <v>50</v>
      </c>
    </row>
    <row r="93" spans="1:13" ht="30">
      <c r="A93" s="6" t="s">
        <v>409</v>
      </c>
      <c r="C93" s="6" t="s">
        <v>55</v>
      </c>
      <c r="D93" s="6" t="s">
        <v>56</v>
      </c>
      <c r="E93" s="3" t="s">
        <v>83</v>
      </c>
      <c r="F93" s="3" t="s">
        <v>410</v>
      </c>
      <c r="I93" s="4" t="s">
        <v>50</v>
      </c>
    </row>
    <row r="94" spans="1:13" ht="30">
      <c r="A94" s="6" t="s">
        <v>411</v>
      </c>
      <c r="C94" s="6" t="s">
        <v>55</v>
      </c>
      <c r="D94" s="6" t="s">
        <v>209</v>
      </c>
      <c r="E94" s="55" t="s">
        <v>412</v>
      </c>
      <c r="I94" s="4" t="s">
        <v>413</v>
      </c>
    </row>
    <row r="95" spans="1:13" ht="45">
      <c r="A95" s="32" t="s">
        <v>414</v>
      </c>
      <c r="B95" s="33"/>
      <c r="C95" s="32" t="s">
        <v>55</v>
      </c>
      <c r="D95" s="32" t="s">
        <v>220</v>
      </c>
      <c r="E95" s="34"/>
      <c r="F95" s="34"/>
      <c r="G95" s="33"/>
      <c r="H95" s="35"/>
      <c r="I95" s="33" t="s">
        <v>50</v>
      </c>
      <c r="J95" s="35" t="s">
        <v>415</v>
      </c>
      <c r="K95" s="37" t="s">
        <v>416</v>
      </c>
      <c r="L95" s="35"/>
      <c r="M95" s="31" t="s">
        <v>9</v>
      </c>
    </row>
    <row r="96" spans="1:13" ht="45">
      <c r="A96" s="20" t="s">
        <v>417</v>
      </c>
      <c r="B96" s="21"/>
      <c r="C96" s="20" t="s">
        <v>55</v>
      </c>
      <c r="D96" s="20" t="s">
        <v>338</v>
      </c>
      <c r="E96" s="22"/>
      <c r="F96" s="22"/>
      <c r="G96" s="21"/>
      <c r="H96" s="23"/>
      <c r="I96" s="21" t="s">
        <v>50</v>
      </c>
      <c r="J96" s="23" t="s">
        <v>418</v>
      </c>
      <c r="K96" s="30" t="s">
        <v>419</v>
      </c>
      <c r="L96" s="23"/>
      <c r="M96" s="13" t="s">
        <v>172</v>
      </c>
    </row>
    <row r="97" spans="1:13" ht="75">
      <c r="A97" s="32" t="s">
        <v>420</v>
      </c>
      <c r="B97" s="33"/>
      <c r="C97" s="32" t="s">
        <v>55</v>
      </c>
      <c r="D97" s="32" t="s">
        <v>124</v>
      </c>
      <c r="E97" s="34" t="s">
        <v>421</v>
      </c>
      <c r="F97" s="33" t="s">
        <v>422</v>
      </c>
      <c r="G97" s="33" t="s">
        <v>423</v>
      </c>
      <c r="H97" s="35"/>
      <c r="I97" s="33" t="s">
        <v>50</v>
      </c>
      <c r="J97" s="37" t="s">
        <v>424</v>
      </c>
      <c r="K97" s="37" t="s">
        <v>425</v>
      </c>
      <c r="L97" s="35"/>
      <c r="M97" s="13" t="s">
        <v>172</v>
      </c>
    </row>
    <row r="98" spans="1:13" ht="75">
      <c r="A98" s="20" t="s">
        <v>426</v>
      </c>
      <c r="B98" s="21"/>
      <c r="C98" s="20" t="s">
        <v>81</v>
      </c>
      <c r="D98" s="20" t="s">
        <v>427</v>
      </c>
      <c r="E98" s="22"/>
      <c r="F98" s="22"/>
      <c r="G98" s="21"/>
      <c r="H98" s="23"/>
      <c r="I98" s="21" t="s">
        <v>29</v>
      </c>
      <c r="J98" s="30" t="s">
        <v>428</v>
      </c>
      <c r="K98" s="30" t="s">
        <v>429</v>
      </c>
      <c r="L98" s="35"/>
      <c r="M98" s="47" t="s">
        <v>314</v>
      </c>
    </row>
    <row r="99" spans="1:13" ht="101.25">
      <c r="A99" s="32" t="s">
        <v>430</v>
      </c>
      <c r="B99" s="33"/>
      <c r="C99" s="32" t="s">
        <v>81</v>
      </c>
      <c r="D99" s="32" t="s">
        <v>128</v>
      </c>
      <c r="E99" s="34"/>
      <c r="F99" s="34"/>
      <c r="G99" s="33"/>
      <c r="H99" s="35"/>
      <c r="I99" s="33" t="s">
        <v>29</v>
      </c>
      <c r="J99" s="35" t="s">
        <v>431</v>
      </c>
      <c r="K99" s="37" t="s">
        <v>432</v>
      </c>
      <c r="L99" s="35"/>
      <c r="M99" s="47" t="s">
        <v>314</v>
      </c>
    </row>
    <row r="100" spans="1:13" ht="75">
      <c r="A100" s="32" t="s">
        <v>433</v>
      </c>
      <c r="B100" s="33"/>
      <c r="C100" s="32" t="s">
        <v>81</v>
      </c>
      <c r="D100" s="66" t="s">
        <v>434</v>
      </c>
      <c r="E100" s="33" t="s">
        <v>435</v>
      </c>
      <c r="F100" s="34"/>
      <c r="G100" s="33"/>
      <c r="H100" s="35"/>
      <c r="I100" s="33"/>
      <c r="J100" s="35"/>
      <c r="K100" s="65" t="s">
        <v>436</v>
      </c>
      <c r="L100" s="35"/>
      <c r="M100" s="13" t="s">
        <v>320</v>
      </c>
    </row>
    <row r="101" spans="1:13">
      <c r="A101" s="14" t="s">
        <v>437</v>
      </c>
      <c r="B101" s="15"/>
      <c r="C101" s="14" t="s">
        <v>81</v>
      </c>
      <c r="D101" s="14" t="s">
        <v>137</v>
      </c>
      <c r="E101" s="16"/>
      <c r="F101" s="16"/>
      <c r="G101" s="15"/>
      <c r="H101" s="17"/>
      <c r="I101" s="15"/>
      <c r="J101" s="17" t="s">
        <v>126</v>
      </c>
      <c r="K101" s="17"/>
      <c r="L101" s="17"/>
      <c r="M101" s="17" t="s">
        <v>126</v>
      </c>
    </row>
    <row r="102" spans="1:13">
      <c r="A102" s="14" t="s">
        <v>438</v>
      </c>
      <c r="B102" s="15"/>
      <c r="C102" s="14" t="s">
        <v>81</v>
      </c>
      <c r="D102" s="14" t="s">
        <v>245</v>
      </c>
      <c r="E102" s="16"/>
      <c r="F102" s="16"/>
      <c r="G102" s="15"/>
      <c r="H102" s="17"/>
      <c r="I102" s="15"/>
      <c r="J102" s="17" t="s">
        <v>439</v>
      </c>
      <c r="K102" s="17"/>
      <c r="L102" s="17"/>
      <c r="M102" s="17" t="s">
        <v>126</v>
      </c>
    </row>
    <row r="103" spans="1:13" ht="60">
      <c r="A103" s="7" t="s">
        <v>440</v>
      </c>
      <c r="B103" s="9"/>
      <c r="C103" s="7" t="s">
        <v>81</v>
      </c>
      <c r="D103" s="7" t="s">
        <v>353</v>
      </c>
      <c r="E103" s="8" t="s">
        <v>441</v>
      </c>
      <c r="F103" s="8" t="s">
        <v>442</v>
      </c>
      <c r="G103" s="9" t="s">
        <v>443</v>
      </c>
      <c r="H103" s="10"/>
      <c r="I103" s="9" t="s">
        <v>444</v>
      </c>
      <c r="J103" s="13" t="s">
        <v>445</v>
      </c>
      <c r="K103" s="10"/>
      <c r="L103" s="10"/>
      <c r="M103" s="13" t="s">
        <v>446</v>
      </c>
    </row>
    <row r="104" spans="1:13">
      <c r="A104" s="6" t="s">
        <v>447</v>
      </c>
      <c r="C104" s="6" t="s">
        <v>81</v>
      </c>
      <c r="D104" s="6" t="s">
        <v>82</v>
      </c>
      <c r="E104" s="3" t="s">
        <v>448</v>
      </c>
      <c r="F104" s="3" t="s">
        <v>449</v>
      </c>
      <c r="I104" s="4" t="s">
        <v>50</v>
      </c>
      <c r="J104" t="s">
        <v>450</v>
      </c>
    </row>
    <row r="105" spans="1:13" ht="90">
      <c r="A105" s="32" t="s">
        <v>451</v>
      </c>
      <c r="B105" s="33"/>
      <c r="C105" s="32" t="s">
        <v>81</v>
      </c>
      <c r="D105" s="32" t="s">
        <v>86</v>
      </c>
      <c r="E105" s="34" t="s">
        <v>195</v>
      </c>
      <c r="F105" s="33" t="s">
        <v>359</v>
      </c>
      <c r="G105" s="33" t="s">
        <v>452</v>
      </c>
      <c r="H105" s="35"/>
      <c r="I105" s="33" t="s">
        <v>29</v>
      </c>
      <c r="J105" s="37" t="s">
        <v>199</v>
      </c>
      <c r="K105" s="37" t="s">
        <v>453</v>
      </c>
      <c r="L105" s="35"/>
      <c r="M105" s="47" t="s">
        <v>314</v>
      </c>
    </row>
    <row r="106" spans="1:13" ht="195">
      <c r="A106" s="32" t="s">
        <v>454</v>
      </c>
      <c r="B106" s="33"/>
      <c r="C106" s="32" t="s">
        <v>81</v>
      </c>
      <c r="D106" s="32" t="s">
        <v>363</v>
      </c>
      <c r="E106" s="34"/>
      <c r="F106" s="34"/>
      <c r="G106" s="33"/>
      <c r="H106" s="35"/>
      <c r="I106" s="33" t="s">
        <v>29</v>
      </c>
      <c r="J106" s="35" t="s">
        <v>455</v>
      </c>
      <c r="K106" s="37" t="s">
        <v>456</v>
      </c>
      <c r="L106" s="35"/>
      <c r="M106" s="13" t="s">
        <v>366</v>
      </c>
    </row>
    <row r="107" spans="1:13" ht="30">
      <c r="A107" s="38" t="s">
        <v>457</v>
      </c>
      <c r="B107" s="39"/>
      <c r="C107" s="38" t="s">
        <v>81</v>
      </c>
      <c r="D107" s="38" t="s">
        <v>250</v>
      </c>
      <c r="E107" s="40"/>
      <c r="F107" s="40"/>
      <c r="G107" s="39"/>
      <c r="H107" s="41"/>
      <c r="I107" s="39"/>
      <c r="J107" s="41" t="s">
        <v>458</v>
      </c>
      <c r="K107" s="42" t="s">
        <v>459</v>
      </c>
      <c r="L107" s="41"/>
      <c r="M107" s="31" t="s">
        <v>9</v>
      </c>
    </row>
    <row r="108" spans="1:13">
      <c r="A108" s="6" t="s">
        <v>460</v>
      </c>
      <c r="C108" s="6" t="s">
        <v>90</v>
      </c>
      <c r="D108" s="6" t="s">
        <v>253</v>
      </c>
      <c r="E108" s="3" t="s">
        <v>210</v>
      </c>
      <c r="F108" s="3" t="s">
        <v>461</v>
      </c>
      <c r="G108" s="4" t="s">
        <v>462</v>
      </c>
      <c r="I108" s="4" t="s">
        <v>213</v>
      </c>
    </row>
    <row r="109" spans="1:13" ht="45">
      <c r="A109" s="20" t="s">
        <v>463</v>
      </c>
      <c r="B109" s="21"/>
      <c r="C109" s="20" t="s">
        <v>90</v>
      </c>
      <c r="D109" s="20" t="s">
        <v>160</v>
      </c>
      <c r="E109" s="22"/>
      <c r="F109" s="22"/>
      <c r="G109" s="21"/>
      <c r="H109" s="23"/>
      <c r="I109" s="21" t="s">
        <v>37</v>
      </c>
      <c r="J109" s="23" t="s">
        <v>464</v>
      </c>
      <c r="K109" s="30" t="s">
        <v>465</v>
      </c>
      <c r="L109" s="23"/>
      <c r="M109" s="13" t="s">
        <v>466</v>
      </c>
    </row>
    <row r="110" spans="1:13" ht="29.25">
      <c r="A110" s="20" t="s">
        <v>467</v>
      </c>
      <c r="B110" s="21"/>
      <c r="C110" s="20" t="s">
        <v>90</v>
      </c>
      <c r="D110" s="20" t="s">
        <v>164</v>
      </c>
      <c r="E110" s="22" t="s">
        <v>468</v>
      </c>
      <c r="F110" s="21" t="s">
        <v>469</v>
      </c>
      <c r="G110" s="21"/>
      <c r="H110" s="23"/>
      <c r="I110" s="21" t="s">
        <v>29</v>
      </c>
      <c r="J110" s="23" t="s">
        <v>470</v>
      </c>
      <c r="K110" s="23" t="s">
        <v>471</v>
      </c>
      <c r="L110" s="76" t="s">
        <v>122</v>
      </c>
      <c r="M110" s="13" t="s">
        <v>472</v>
      </c>
    </row>
    <row r="111" spans="1:13" ht="130.5">
      <c r="A111" s="32" t="s">
        <v>473</v>
      </c>
      <c r="B111" s="33"/>
      <c r="C111" s="32" t="s">
        <v>90</v>
      </c>
      <c r="D111" s="32" t="s">
        <v>169</v>
      </c>
      <c r="E111" s="34"/>
      <c r="F111" s="34"/>
      <c r="G111" s="33"/>
      <c r="H111" s="35"/>
      <c r="I111" s="33" t="s">
        <v>50</v>
      </c>
      <c r="J111" s="35" t="s">
        <v>474</v>
      </c>
      <c r="K111" s="37" t="s">
        <v>475</v>
      </c>
      <c r="L111" s="35"/>
      <c r="M111" s="13" t="s">
        <v>476</v>
      </c>
    </row>
    <row r="112" spans="1:13" ht="90">
      <c r="A112" s="6" t="s">
        <v>477</v>
      </c>
      <c r="C112" s="6" t="s">
        <v>90</v>
      </c>
      <c r="D112" s="6" t="s">
        <v>174</v>
      </c>
      <c r="E112" s="4" t="s">
        <v>478</v>
      </c>
      <c r="F112" s="4" t="s">
        <v>479</v>
      </c>
      <c r="G112" s="4" t="s">
        <v>480</v>
      </c>
      <c r="I112" s="4" t="s">
        <v>50</v>
      </c>
      <c r="J112" t="s">
        <v>481</v>
      </c>
    </row>
    <row r="113" spans="1:13" ht="45">
      <c r="A113" s="32" t="s">
        <v>482</v>
      </c>
      <c r="B113" s="33"/>
      <c r="C113" s="32" t="s">
        <v>90</v>
      </c>
      <c r="D113" s="32" t="s">
        <v>187</v>
      </c>
      <c r="E113" s="34"/>
      <c r="F113" s="34"/>
      <c r="G113" s="33"/>
      <c r="H113" s="35"/>
      <c r="I113" s="33" t="s">
        <v>50</v>
      </c>
      <c r="J113" s="35" t="s">
        <v>483</v>
      </c>
      <c r="K113" s="37" t="s">
        <v>484</v>
      </c>
      <c r="L113" s="35"/>
      <c r="M113" s="13" t="s">
        <v>485</v>
      </c>
    </row>
    <row r="114" spans="1:13" ht="30">
      <c r="A114" s="20" t="s">
        <v>486</v>
      </c>
      <c r="B114" s="21"/>
      <c r="C114" s="20" t="s">
        <v>90</v>
      </c>
      <c r="D114" s="20" t="s">
        <v>301</v>
      </c>
      <c r="E114" s="22" t="s">
        <v>487</v>
      </c>
      <c r="F114" s="22" t="s">
        <v>488</v>
      </c>
      <c r="G114" s="21"/>
      <c r="H114" s="23"/>
      <c r="I114" s="21" t="s">
        <v>50</v>
      </c>
      <c r="J114" s="23"/>
      <c r="K114" s="23" t="s">
        <v>395</v>
      </c>
      <c r="L114" s="23"/>
      <c r="M114" s="13" t="s">
        <v>489</v>
      </c>
    </row>
    <row r="115" spans="1:13" ht="60">
      <c r="A115" s="49" t="s">
        <v>490</v>
      </c>
      <c r="B115" s="50"/>
      <c r="C115" s="49" t="s">
        <v>55</v>
      </c>
      <c r="D115" s="49" t="s">
        <v>311</v>
      </c>
      <c r="E115" s="51" t="s">
        <v>491</v>
      </c>
      <c r="F115" s="51" t="s">
        <v>492</v>
      </c>
      <c r="G115" s="50" t="s">
        <v>493</v>
      </c>
      <c r="H115" s="52"/>
      <c r="I115" s="50" t="s">
        <v>50</v>
      </c>
      <c r="J115" s="52" t="s">
        <v>464</v>
      </c>
      <c r="K115" s="53" t="s">
        <v>494</v>
      </c>
      <c r="L115" s="23"/>
      <c r="M115" s="13" t="s">
        <v>495</v>
      </c>
    </row>
    <row r="116" spans="1:13" ht="30">
      <c r="A116" s="32" t="s">
        <v>496</v>
      </c>
      <c r="B116" s="33"/>
      <c r="C116" s="32" t="s">
        <v>55</v>
      </c>
      <c r="D116" s="32" t="s">
        <v>203</v>
      </c>
      <c r="E116" s="34"/>
      <c r="F116" s="34"/>
      <c r="G116" s="33"/>
      <c r="H116" s="35"/>
      <c r="I116" s="33"/>
      <c r="J116" s="34" t="s">
        <v>497</v>
      </c>
      <c r="K116" s="37" t="s">
        <v>498</v>
      </c>
      <c r="L116" s="35"/>
      <c r="M116" s="13" t="s">
        <v>499</v>
      </c>
    </row>
    <row r="117" spans="1:13" ht="45">
      <c r="A117" s="6" t="s">
        <v>500</v>
      </c>
      <c r="C117" s="6" t="s">
        <v>63</v>
      </c>
      <c r="D117" s="6" t="s">
        <v>501</v>
      </c>
      <c r="E117" s="4" t="s">
        <v>279</v>
      </c>
      <c r="F117" s="3" t="s">
        <v>502</v>
      </c>
      <c r="I117" s="4" t="s">
        <v>50</v>
      </c>
    </row>
    <row r="118" spans="1:13" ht="30">
      <c r="A118" s="32" t="s">
        <v>503</v>
      </c>
      <c r="B118" s="33"/>
      <c r="C118" s="32" t="s">
        <v>55</v>
      </c>
      <c r="D118" s="32" t="s">
        <v>56</v>
      </c>
      <c r="E118" s="34"/>
      <c r="F118" s="34"/>
      <c r="G118" s="33"/>
      <c r="H118" s="35"/>
      <c r="I118" s="33" t="s">
        <v>50</v>
      </c>
      <c r="J118" s="35" t="s">
        <v>504</v>
      </c>
      <c r="K118" s="37" t="s">
        <v>505</v>
      </c>
      <c r="L118" s="35"/>
      <c r="M118" s="42" t="s">
        <v>243</v>
      </c>
    </row>
    <row r="119" spans="1:13" ht="135">
      <c r="A119" s="32" t="s">
        <v>506</v>
      </c>
      <c r="B119" s="33"/>
      <c r="C119" s="32" t="s">
        <v>55</v>
      </c>
      <c r="D119" s="32" t="s">
        <v>119</v>
      </c>
      <c r="E119" s="34"/>
      <c r="F119" s="34"/>
      <c r="G119" s="33"/>
      <c r="H119" s="35"/>
      <c r="I119" s="33" t="s">
        <v>29</v>
      </c>
      <c r="J119" s="34" t="s">
        <v>507</v>
      </c>
      <c r="K119" s="37" t="s">
        <v>508</v>
      </c>
      <c r="L119" s="56" t="s">
        <v>122</v>
      </c>
      <c r="M119" s="13" t="s">
        <v>509</v>
      </c>
    </row>
    <row r="120" spans="1:13" ht="90">
      <c r="A120" s="32" t="s">
        <v>510</v>
      </c>
      <c r="B120" s="33"/>
      <c r="C120" s="32" t="s">
        <v>55</v>
      </c>
      <c r="D120" s="32" t="s">
        <v>338</v>
      </c>
      <c r="E120" s="33" t="s">
        <v>511</v>
      </c>
      <c r="F120" s="34" t="s">
        <v>512</v>
      </c>
      <c r="G120" s="33"/>
      <c r="H120" s="35"/>
      <c r="I120" s="33" t="s">
        <v>37</v>
      </c>
      <c r="J120" s="37" t="s">
        <v>513</v>
      </c>
      <c r="K120" s="37" t="s">
        <v>514</v>
      </c>
      <c r="L120" s="35"/>
    </row>
    <row r="121" spans="1:13" ht="30">
      <c r="A121" s="38" t="s">
        <v>515</v>
      </c>
      <c r="B121" s="39"/>
      <c r="C121" s="38" t="s">
        <v>55</v>
      </c>
      <c r="D121" s="38" t="s">
        <v>124</v>
      </c>
      <c r="E121" s="40" t="s">
        <v>116</v>
      </c>
      <c r="F121" s="40" t="s">
        <v>516</v>
      </c>
      <c r="G121" s="39"/>
      <c r="H121" s="41"/>
      <c r="I121" s="39"/>
      <c r="J121" s="41" t="s">
        <v>517</v>
      </c>
      <c r="K121" s="42" t="s">
        <v>459</v>
      </c>
      <c r="L121" s="41"/>
      <c r="M121" s="42" t="s">
        <v>243</v>
      </c>
    </row>
    <row r="122" spans="1:13" ht="120">
      <c r="A122" s="6" t="s">
        <v>518</v>
      </c>
      <c r="C122" s="6" t="s">
        <v>81</v>
      </c>
      <c r="D122" s="6" t="s">
        <v>233</v>
      </c>
      <c r="I122" s="4" t="s">
        <v>50</v>
      </c>
      <c r="M122" s="11" t="s">
        <v>519</v>
      </c>
    </row>
    <row r="123" spans="1:13" ht="30">
      <c r="A123" s="20" t="s">
        <v>520</v>
      </c>
      <c r="B123" s="21"/>
      <c r="C123" s="20" t="s">
        <v>81</v>
      </c>
      <c r="D123" s="20" t="s">
        <v>427</v>
      </c>
      <c r="E123" s="22"/>
      <c r="F123" s="22"/>
      <c r="G123" s="21"/>
      <c r="H123" s="23"/>
      <c r="I123" s="21" t="s">
        <v>29</v>
      </c>
      <c r="J123" s="23"/>
      <c r="K123" s="30" t="s">
        <v>521</v>
      </c>
      <c r="L123" s="23"/>
      <c r="M123" s="13" t="s">
        <v>495</v>
      </c>
    </row>
    <row r="124" spans="1:13" ht="45">
      <c r="A124" s="62" t="s">
        <v>522</v>
      </c>
      <c r="B124" s="9"/>
      <c r="C124" s="7" t="s">
        <v>81</v>
      </c>
      <c r="D124" s="7" t="s">
        <v>128</v>
      </c>
      <c r="E124" s="8"/>
      <c r="F124" s="8"/>
      <c r="G124" s="9"/>
      <c r="H124" s="10"/>
      <c r="I124" s="9"/>
      <c r="J124" s="10"/>
      <c r="K124" s="13" t="s">
        <v>523</v>
      </c>
      <c r="L124" s="10"/>
      <c r="M124" s="62" t="s">
        <v>314</v>
      </c>
    </row>
    <row r="125" spans="1:13" ht="75">
      <c r="A125" s="32" t="s">
        <v>524</v>
      </c>
      <c r="B125" s="33"/>
      <c r="C125" s="32" t="s">
        <v>81</v>
      </c>
      <c r="D125" s="32" t="s">
        <v>236</v>
      </c>
      <c r="E125" s="34"/>
      <c r="F125" s="34"/>
      <c r="G125" s="33"/>
      <c r="H125" s="35"/>
      <c r="I125" s="33"/>
      <c r="J125" s="35" t="s">
        <v>525</v>
      </c>
      <c r="K125" s="37" t="s">
        <v>526</v>
      </c>
      <c r="L125" s="35"/>
      <c r="M125" s="13" t="s">
        <v>172</v>
      </c>
    </row>
    <row r="126" spans="1:13" ht="120">
      <c r="A126" s="32" t="s">
        <v>527</v>
      </c>
      <c r="B126" s="33"/>
      <c r="C126" s="32" t="s">
        <v>81</v>
      </c>
      <c r="D126" s="32" t="s">
        <v>137</v>
      </c>
      <c r="E126" s="34"/>
      <c r="F126" s="34"/>
      <c r="G126" s="33"/>
      <c r="H126" s="35"/>
      <c r="I126" s="33" t="s">
        <v>29</v>
      </c>
      <c r="J126" s="35" t="s">
        <v>528</v>
      </c>
      <c r="K126" s="37" t="s">
        <v>529</v>
      </c>
      <c r="L126" s="35"/>
      <c r="M126" s="13" t="s">
        <v>530</v>
      </c>
    </row>
    <row r="127" spans="1:13">
      <c r="A127" s="14" t="s">
        <v>531</v>
      </c>
      <c r="B127" s="15"/>
      <c r="C127" s="14" t="s">
        <v>81</v>
      </c>
      <c r="D127" s="14" t="s">
        <v>245</v>
      </c>
      <c r="E127" s="16"/>
      <c r="F127" s="16"/>
      <c r="G127" s="15"/>
      <c r="H127" s="17"/>
      <c r="I127" s="15"/>
      <c r="J127" s="17" t="s">
        <v>126</v>
      </c>
      <c r="K127" s="31"/>
      <c r="L127" s="17"/>
      <c r="M127" s="17" t="s">
        <v>126</v>
      </c>
    </row>
    <row r="128" spans="1:13" ht="120">
      <c r="A128" s="32" t="s">
        <v>532</v>
      </c>
      <c r="B128" s="33"/>
      <c r="C128" s="32" t="s">
        <v>81</v>
      </c>
      <c r="D128" s="32" t="s">
        <v>86</v>
      </c>
      <c r="E128" s="34" t="s">
        <v>533</v>
      </c>
      <c r="F128" s="34" t="s">
        <v>534</v>
      </c>
      <c r="G128" s="33"/>
      <c r="H128" s="35"/>
      <c r="I128" s="33" t="s">
        <v>50</v>
      </c>
      <c r="J128" s="35" t="s">
        <v>525</v>
      </c>
      <c r="K128" s="37" t="s">
        <v>535</v>
      </c>
      <c r="L128" s="10"/>
      <c r="M128" s="13" t="s">
        <v>172</v>
      </c>
    </row>
    <row r="129" spans="1:13" ht="120">
      <c r="A129" s="32" t="s">
        <v>536</v>
      </c>
      <c r="B129" s="32"/>
      <c r="C129" s="32" t="s">
        <v>81</v>
      </c>
      <c r="D129" s="32" t="s">
        <v>363</v>
      </c>
      <c r="E129" s="34"/>
      <c r="F129" s="34"/>
      <c r="G129" s="33"/>
      <c r="H129" s="35"/>
      <c r="I129" s="33" t="s">
        <v>50</v>
      </c>
      <c r="J129" s="35" t="s">
        <v>537</v>
      </c>
      <c r="K129" s="37" t="s">
        <v>538</v>
      </c>
      <c r="L129" s="10"/>
      <c r="M129" s="11" t="s">
        <v>539</v>
      </c>
    </row>
    <row r="130" spans="1:13" ht="30">
      <c r="A130" s="14" t="s">
        <v>540</v>
      </c>
      <c r="B130" s="14"/>
      <c r="C130" s="14" t="s">
        <v>81</v>
      </c>
      <c r="D130" s="14" t="s">
        <v>250</v>
      </c>
      <c r="E130" s="16"/>
      <c r="F130" s="16"/>
      <c r="G130" s="15"/>
      <c r="H130" s="17"/>
      <c r="I130" s="15"/>
      <c r="J130" s="17" t="s">
        <v>126</v>
      </c>
      <c r="K130" s="17"/>
      <c r="L130" s="17"/>
      <c r="M130" s="17" t="s">
        <v>126</v>
      </c>
    </row>
    <row r="131" spans="1:13" ht="30">
      <c r="A131" s="15" t="s">
        <v>541</v>
      </c>
      <c r="B131" s="15"/>
      <c r="C131" s="15" t="s">
        <v>90</v>
      </c>
      <c r="D131" s="15" t="s">
        <v>260</v>
      </c>
      <c r="E131" s="15" t="s">
        <v>542</v>
      </c>
      <c r="F131" s="15" t="s">
        <v>543</v>
      </c>
      <c r="G131" s="15"/>
      <c r="H131" s="15"/>
      <c r="I131" s="15" t="s">
        <v>50</v>
      </c>
      <c r="J131" s="15" t="s">
        <v>544</v>
      </c>
      <c r="K131" s="15"/>
      <c r="L131" s="15"/>
      <c r="M131" s="15" t="s">
        <v>243</v>
      </c>
    </row>
    <row r="132" spans="1:13" ht="30">
      <c r="A132" s="20" t="s">
        <v>545</v>
      </c>
      <c r="B132" s="20"/>
      <c r="C132" s="20" t="s">
        <v>90</v>
      </c>
      <c r="D132" s="20" t="s">
        <v>164</v>
      </c>
      <c r="E132" s="21" t="s">
        <v>546</v>
      </c>
      <c r="F132" s="22"/>
      <c r="G132" s="21"/>
      <c r="H132" s="23"/>
      <c r="I132" s="21"/>
      <c r="J132" s="23" t="s">
        <v>547</v>
      </c>
      <c r="K132" s="23" t="s">
        <v>395</v>
      </c>
      <c r="L132" s="23"/>
      <c r="M132" s="13" t="s">
        <v>548</v>
      </c>
    </row>
    <row r="133" spans="1:13" ht="45">
      <c r="A133" s="20" t="s">
        <v>549</v>
      </c>
      <c r="B133" s="29"/>
      <c r="C133" s="20" t="s">
        <v>90</v>
      </c>
      <c r="D133" s="20" t="s">
        <v>301</v>
      </c>
      <c r="E133" s="22" t="s">
        <v>550</v>
      </c>
      <c r="F133" s="22" t="s">
        <v>551</v>
      </c>
      <c r="G133" s="21" t="s">
        <v>552</v>
      </c>
      <c r="H133" s="23"/>
      <c r="I133" s="21" t="s">
        <v>37</v>
      </c>
      <c r="J133" s="23"/>
      <c r="K133" s="30" t="s">
        <v>553</v>
      </c>
      <c r="L133" s="23"/>
      <c r="M133" s="13" t="s">
        <v>466</v>
      </c>
    </row>
    <row r="134" spans="1:13" ht="30">
      <c r="A134" s="6" t="s">
        <v>554</v>
      </c>
      <c r="B134" s="12"/>
      <c r="C134" s="6" t="s">
        <v>55</v>
      </c>
      <c r="D134" s="6" t="s">
        <v>311</v>
      </c>
      <c r="E134" s="24"/>
      <c r="I134" s="4" t="s">
        <v>29</v>
      </c>
      <c r="M134" s="13" t="s">
        <v>495</v>
      </c>
    </row>
    <row r="135" spans="1:13" ht="60">
      <c r="A135" s="6" t="s">
        <v>555</v>
      </c>
      <c r="B135" s="12"/>
      <c r="C135" s="6" t="s">
        <v>63</v>
      </c>
      <c r="D135" s="6" t="s">
        <v>556</v>
      </c>
      <c r="J135" t="s">
        <v>557</v>
      </c>
      <c r="M135" s="11" t="s">
        <v>558</v>
      </c>
    </row>
    <row r="136" spans="1:13">
      <c r="A136" s="6" t="s">
        <v>559</v>
      </c>
      <c r="C136" s="6" t="s">
        <v>81</v>
      </c>
      <c r="D136" s="6" t="s">
        <v>82</v>
      </c>
      <c r="E136" s="3" t="s">
        <v>421</v>
      </c>
      <c r="F136" s="3" t="s">
        <v>560</v>
      </c>
      <c r="I136" s="4" t="s">
        <v>50</v>
      </c>
    </row>
    <row r="138" spans="1:13">
      <c r="A138"/>
      <c r="B138" s="11"/>
      <c r="C138"/>
      <c r="D138"/>
      <c r="E138"/>
      <c r="F138"/>
      <c r="G138"/>
      <c r="I138"/>
    </row>
    <row r="139" spans="1:13">
      <c r="A139"/>
      <c r="B139" s="11"/>
      <c r="C139"/>
      <c r="D139"/>
      <c r="E139"/>
      <c r="F139"/>
      <c r="G139"/>
      <c r="I139"/>
    </row>
    <row r="140" spans="1:13">
      <c r="A140"/>
      <c r="B140" s="11"/>
      <c r="C140"/>
      <c r="D140"/>
      <c r="E140"/>
      <c r="F140"/>
      <c r="G140"/>
      <c r="I140"/>
    </row>
    <row r="141" spans="1:13">
      <c r="A141"/>
      <c r="B141" s="11"/>
      <c r="C141"/>
      <c r="D141"/>
      <c r="E141"/>
      <c r="F141"/>
      <c r="G141"/>
      <c r="I141"/>
    </row>
    <row r="142" spans="1:13">
      <c r="A142"/>
      <c r="B142" s="11"/>
      <c r="C142"/>
      <c r="D142"/>
      <c r="E142"/>
      <c r="F142"/>
      <c r="G142"/>
      <c r="I142"/>
    </row>
    <row r="143" spans="1:13">
      <c r="A143"/>
      <c r="B143" s="11"/>
      <c r="C143"/>
      <c r="D143"/>
      <c r="E143"/>
      <c r="F143"/>
      <c r="G143"/>
      <c r="I143"/>
    </row>
  </sheetData>
  <autoFilter ref="A1:M136" xr:uid="{9BFA4E72-A48A-484B-B773-7AD6BF46BAFB}"/>
  <hyperlinks>
    <hyperlink ref="L19" r:id="rId1" xr:uid="{9394DCF1-5ABC-43C3-9509-2D06146D947E}"/>
    <hyperlink ref="L38" r:id="rId2" xr:uid="{7AACEA80-1E70-4DE4-BF99-0DE3886C2F76}"/>
    <hyperlink ref="L50" r:id="rId3" xr:uid="{ED3F5F63-F12B-4912-AB78-7BBAC1579BA9}"/>
    <hyperlink ref="L81" r:id="rId4" xr:uid="{F0A9F147-DA5B-4FBD-B739-CAC3D6753757}"/>
    <hyperlink ref="L32" r:id="rId5" location="search=promo%20calendar" xr:uid="{88C73CD9-47B6-40BC-AB21-FA3DDEDF24D5}"/>
    <hyperlink ref="L119" r:id="rId6" xr:uid="{839B5F60-6E24-4422-BE18-BCE32A1FE2B6}"/>
    <hyperlink ref="L55" r:id="rId7" location="search=promo%20calendar" display="https://fetch.petsmart.com/departments/Store Operations/MerchCentral/resetshome/Documents/Commercial Calendar/FY26 Commercial Calendar 1.22.26.pdf - search=promo%20calendar" xr:uid="{7DFF05DF-494B-4B20-B213-A5101103FDE9}"/>
    <hyperlink ref="L86" r:id="rId8" location="search=promo%20calendar" display="https://fetch.petsmart.com/departments/Store Operations/MerchCentral/resetshome/Documents/Commercial Calendar/FY26 Commercial Calendar 1.22.26.pdf - search=promo%20calendar" xr:uid="{E284EB0A-62DA-420E-BB98-5C89E697AECF}"/>
    <hyperlink ref="L110" r:id="rId9" xr:uid="{D6072D62-5810-45C2-9FDB-6EBE3CE27239}"/>
  </hyperlinks>
  <pageMargins left="0.7" right="0.7" top="0.75" bottom="0.75" header="0.3" footer="0.3"/>
  <pageSetup orientation="portrait" horizontalDpi="200" verticalDpi="200"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C501-20C4-4262-B89A-AED48523A4FC}">
  <dimension ref="A1:N16"/>
  <sheetViews>
    <sheetView workbookViewId="0">
      <pane xSplit="1" topLeftCell="C1" activePane="topRight" state="frozen"/>
      <selection pane="topRight" activeCell="L3" sqref="L3"/>
    </sheetView>
  </sheetViews>
  <sheetFormatPr defaultRowHeight="15"/>
  <cols>
    <col min="1" max="1" width="25.7109375" customWidth="1"/>
    <col min="2" max="2" width="14.85546875" hidden="1" customWidth="1"/>
    <col min="3" max="3" width="24" customWidth="1"/>
    <col min="4" max="4" width="24.42578125" customWidth="1"/>
    <col min="5" max="5" width="30" bestFit="1" customWidth="1"/>
    <col min="6" max="6" width="30.7109375" bestFit="1" customWidth="1"/>
    <col min="8" max="8" width="24.42578125" hidden="1" customWidth="1"/>
    <col min="9" max="9" width="20.42578125" hidden="1" customWidth="1"/>
    <col min="10" max="10" width="22.85546875" customWidth="1"/>
    <col min="11" max="11" width="26.140625" customWidth="1"/>
    <col min="12" max="12" width="5.85546875" bestFit="1" customWidth="1"/>
    <col min="13" max="13" width="24.28515625" customWidth="1"/>
    <col min="14" max="14" width="60.85546875" style="11" customWidth="1"/>
  </cols>
  <sheetData>
    <row r="1" spans="1:14" ht="29.25">
      <c r="A1" s="2" t="s">
        <v>10</v>
      </c>
      <c r="B1" s="5" t="s">
        <v>11</v>
      </c>
      <c r="C1" s="2" t="s">
        <v>12</v>
      </c>
      <c r="D1" s="2" t="s">
        <v>13</v>
      </c>
      <c r="E1" s="2" t="s">
        <v>14</v>
      </c>
      <c r="F1" s="2" t="s">
        <v>15</v>
      </c>
      <c r="G1" s="5" t="s">
        <v>16</v>
      </c>
      <c r="H1" s="1" t="s">
        <v>17</v>
      </c>
      <c r="I1" s="5" t="s">
        <v>18</v>
      </c>
      <c r="J1" s="5" t="s">
        <v>19</v>
      </c>
      <c r="K1" s="5" t="s">
        <v>20</v>
      </c>
      <c r="L1" s="1" t="s">
        <v>21</v>
      </c>
      <c r="M1" s="44" t="s">
        <v>22</v>
      </c>
      <c r="N1" s="44" t="s">
        <v>561</v>
      </c>
    </row>
    <row r="2" spans="1:14" ht="109.5" customHeight="1">
      <c r="A2" s="20" t="s">
        <v>89</v>
      </c>
      <c r="B2" s="21"/>
      <c r="C2" s="20" t="s">
        <v>90</v>
      </c>
      <c r="D2" s="20" t="s">
        <v>91</v>
      </c>
      <c r="E2" s="22" t="s">
        <v>92</v>
      </c>
      <c r="F2" s="22" t="s">
        <v>93</v>
      </c>
      <c r="G2" s="21"/>
      <c r="H2" s="23"/>
      <c r="I2" s="21" t="s">
        <v>29</v>
      </c>
      <c r="J2" s="21" t="s">
        <v>94</v>
      </c>
      <c r="K2" s="21" t="s">
        <v>95</v>
      </c>
      <c r="L2" s="10"/>
      <c r="M2" s="13" t="s">
        <v>96</v>
      </c>
      <c r="N2" s="11" t="s">
        <v>562</v>
      </c>
    </row>
    <row r="3" spans="1:14" ht="126" customHeight="1">
      <c r="A3" s="32" t="s">
        <v>118</v>
      </c>
      <c r="B3" s="33"/>
      <c r="C3" s="32" t="s">
        <v>55</v>
      </c>
      <c r="D3" s="32" t="s">
        <v>119</v>
      </c>
      <c r="E3" s="34"/>
      <c r="F3" s="34"/>
      <c r="G3" s="33"/>
      <c r="H3" s="35"/>
      <c r="I3" s="33" t="s">
        <v>29</v>
      </c>
      <c r="J3" s="37" t="s">
        <v>120</v>
      </c>
      <c r="K3" s="37" t="s">
        <v>121</v>
      </c>
      <c r="L3" s="18" t="s">
        <v>122</v>
      </c>
      <c r="M3" s="13" t="s">
        <v>96</v>
      </c>
      <c r="N3" s="11" t="s">
        <v>563</v>
      </c>
    </row>
    <row r="4" spans="1:14" ht="144.75">
      <c r="A4" s="7" t="s">
        <v>193</v>
      </c>
      <c r="B4" s="9"/>
      <c r="C4" s="7" t="s">
        <v>63</v>
      </c>
      <c r="D4" s="7" t="s">
        <v>194</v>
      </c>
      <c r="E4" s="8" t="s">
        <v>195</v>
      </c>
      <c r="F4" s="8" t="s">
        <v>196</v>
      </c>
      <c r="G4" s="9" t="s">
        <v>197</v>
      </c>
      <c r="H4" s="10"/>
      <c r="I4" s="9" t="s">
        <v>198</v>
      </c>
      <c r="J4" s="13" t="s">
        <v>199</v>
      </c>
      <c r="K4" s="13"/>
      <c r="L4" s="10"/>
      <c r="M4" s="13" t="s">
        <v>201</v>
      </c>
      <c r="N4" s="11" t="s">
        <v>564</v>
      </c>
    </row>
    <row r="5" spans="1:14" ht="43.5">
      <c r="A5" s="7" t="s">
        <v>310</v>
      </c>
      <c r="B5" s="9"/>
      <c r="C5" s="7" t="s">
        <v>55</v>
      </c>
      <c r="D5" s="7" t="s">
        <v>311</v>
      </c>
      <c r="E5" s="8" t="s">
        <v>195</v>
      </c>
      <c r="F5" s="9" t="s">
        <v>312</v>
      </c>
      <c r="G5" s="9"/>
      <c r="H5" s="10"/>
      <c r="I5" s="9" t="s">
        <v>29</v>
      </c>
      <c r="J5" s="13" t="s">
        <v>199</v>
      </c>
      <c r="K5" s="13"/>
      <c r="L5" s="10"/>
      <c r="M5" s="47" t="s">
        <v>314</v>
      </c>
      <c r="N5" s="11" t="s">
        <v>564</v>
      </c>
    </row>
    <row r="6" spans="1:14" ht="115.5">
      <c r="A6" s="7" t="s">
        <v>330</v>
      </c>
      <c r="B6" s="9"/>
      <c r="C6" s="7" t="s">
        <v>55</v>
      </c>
      <c r="D6" s="7" t="s">
        <v>119</v>
      </c>
      <c r="E6" s="8"/>
      <c r="F6" s="8"/>
      <c r="G6" s="9"/>
      <c r="H6" s="10"/>
      <c r="I6" s="9" t="s">
        <v>29</v>
      </c>
      <c r="J6" s="13" t="s">
        <v>331</v>
      </c>
      <c r="K6" s="13"/>
      <c r="L6" s="18"/>
      <c r="M6" s="13" t="s">
        <v>333</v>
      </c>
      <c r="N6" s="11" t="s">
        <v>565</v>
      </c>
    </row>
    <row r="7" spans="1:14" ht="43.5">
      <c r="A7" s="7" t="s">
        <v>400</v>
      </c>
      <c r="B7" s="9"/>
      <c r="C7" s="7" t="s">
        <v>55</v>
      </c>
      <c r="D7" s="7" t="s">
        <v>311</v>
      </c>
      <c r="E7" s="8" t="s">
        <v>195</v>
      </c>
      <c r="F7" s="9" t="s">
        <v>401</v>
      </c>
      <c r="G7" s="9"/>
      <c r="H7" s="10"/>
      <c r="I7" s="9" t="s">
        <v>29</v>
      </c>
      <c r="J7" s="13" t="s">
        <v>199</v>
      </c>
      <c r="K7" s="13"/>
      <c r="L7" s="10"/>
      <c r="M7" s="47" t="s">
        <v>314</v>
      </c>
      <c r="N7" s="11" t="s">
        <v>564</v>
      </c>
    </row>
    <row r="8" spans="1:14" ht="115.5">
      <c r="A8" s="7" t="s">
        <v>426</v>
      </c>
      <c r="B8" s="9"/>
      <c r="C8" s="7" t="s">
        <v>81</v>
      </c>
      <c r="D8" s="7" t="s">
        <v>427</v>
      </c>
      <c r="E8" s="8"/>
      <c r="F8" s="8"/>
      <c r="G8" s="9"/>
      <c r="H8" s="10"/>
      <c r="I8" s="9" t="s">
        <v>29</v>
      </c>
      <c r="J8" s="13" t="s">
        <v>428</v>
      </c>
      <c r="K8" s="10"/>
      <c r="L8" s="10"/>
      <c r="M8" s="47" t="s">
        <v>314</v>
      </c>
      <c r="N8" s="11" t="s">
        <v>566</v>
      </c>
    </row>
    <row r="9" spans="1:14" ht="57.75">
      <c r="A9" s="7" t="s">
        <v>430</v>
      </c>
      <c r="B9" s="9"/>
      <c r="C9" s="7" t="s">
        <v>81</v>
      </c>
      <c r="D9" s="7" t="s">
        <v>128</v>
      </c>
      <c r="E9" s="8"/>
      <c r="F9" s="8"/>
      <c r="G9" s="9"/>
      <c r="H9" s="10"/>
      <c r="I9" s="9" t="s">
        <v>29</v>
      </c>
      <c r="J9" s="13" t="s">
        <v>431</v>
      </c>
      <c r="K9" s="10"/>
      <c r="L9" s="10"/>
      <c r="M9" s="47" t="s">
        <v>314</v>
      </c>
      <c r="N9" s="11" t="s">
        <v>567</v>
      </c>
    </row>
    <row r="10" spans="1:14" s="11" customFormat="1" ht="130.5">
      <c r="A10" s="32" t="s">
        <v>451</v>
      </c>
      <c r="B10" s="33"/>
      <c r="C10" s="32" t="s">
        <v>81</v>
      </c>
      <c r="D10" s="32" t="s">
        <v>86</v>
      </c>
      <c r="E10" s="33" t="s">
        <v>195</v>
      </c>
      <c r="F10" s="33" t="s">
        <v>359</v>
      </c>
      <c r="G10" s="33" t="s">
        <v>452</v>
      </c>
      <c r="H10" s="37"/>
      <c r="I10" s="33" t="s">
        <v>29</v>
      </c>
      <c r="J10" s="37" t="s">
        <v>199</v>
      </c>
      <c r="K10" s="37" t="s">
        <v>453</v>
      </c>
      <c r="L10" s="37"/>
      <c r="M10" s="47" t="s">
        <v>314</v>
      </c>
      <c r="N10" s="11" t="s">
        <v>568</v>
      </c>
    </row>
    <row r="11" spans="1:14" s="11" customFormat="1" ht="101.25">
      <c r="A11" s="49" t="s">
        <v>490</v>
      </c>
      <c r="B11" s="50"/>
      <c r="C11" s="49" t="s">
        <v>55</v>
      </c>
      <c r="D11" s="49" t="s">
        <v>311</v>
      </c>
      <c r="E11" s="50" t="s">
        <v>491</v>
      </c>
      <c r="F11" s="50" t="s">
        <v>492</v>
      </c>
      <c r="G11" s="50" t="s">
        <v>493</v>
      </c>
      <c r="H11" s="53"/>
      <c r="I11" s="50" t="s">
        <v>50</v>
      </c>
      <c r="J11" s="53" t="s">
        <v>464</v>
      </c>
      <c r="K11" s="53" t="s">
        <v>494</v>
      </c>
      <c r="L11" s="30"/>
      <c r="M11" s="13" t="s">
        <v>495</v>
      </c>
    </row>
    <row r="12" spans="1:14" s="11" customFormat="1" ht="115.5">
      <c r="A12" s="32" t="s">
        <v>506</v>
      </c>
      <c r="B12" s="33"/>
      <c r="C12" s="32" t="s">
        <v>55</v>
      </c>
      <c r="D12" s="32" t="s">
        <v>119</v>
      </c>
      <c r="E12" s="33"/>
      <c r="F12" s="33"/>
      <c r="G12" s="33"/>
      <c r="H12" s="37"/>
      <c r="I12" s="33" t="s">
        <v>29</v>
      </c>
      <c r="J12" s="33" t="s">
        <v>507</v>
      </c>
      <c r="K12" s="37" t="s">
        <v>508</v>
      </c>
      <c r="L12" s="72" t="s">
        <v>122</v>
      </c>
      <c r="M12" s="13" t="s">
        <v>509</v>
      </c>
      <c r="N12" s="11" t="s">
        <v>569</v>
      </c>
    </row>
    <row r="13" spans="1:14" s="11" customFormat="1" ht="29.25">
      <c r="A13" s="20" t="s">
        <v>520</v>
      </c>
      <c r="B13" s="21"/>
      <c r="C13" s="20" t="s">
        <v>81</v>
      </c>
      <c r="D13" s="20" t="s">
        <v>427</v>
      </c>
      <c r="E13" s="21"/>
      <c r="F13" s="21"/>
      <c r="G13" s="21"/>
      <c r="H13" s="30"/>
      <c r="I13" s="21" t="s">
        <v>29</v>
      </c>
      <c r="J13" s="30"/>
      <c r="K13" s="30" t="s">
        <v>521</v>
      </c>
      <c r="L13" s="30"/>
      <c r="M13" s="13" t="s">
        <v>495</v>
      </c>
      <c r="N13" s="11" t="s">
        <v>570</v>
      </c>
    </row>
    <row r="14" spans="1:14" s="11" customFormat="1" ht="72.75">
      <c r="A14" s="62" t="s">
        <v>522</v>
      </c>
      <c r="B14" s="9"/>
      <c r="C14" s="7" t="s">
        <v>81</v>
      </c>
      <c r="D14" s="7" t="s">
        <v>128</v>
      </c>
      <c r="E14" s="9"/>
      <c r="F14" s="9"/>
      <c r="G14" s="9"/>
      <c r="H14" s="13"/>
      <c r="I14" s="9"/>
      <c r="J14" s="13"/>
      <c r="K14" s="13" t="s">
        <v>523</v>
      </c>
      <c r="L14" s="13"/>
      <c r="M14" s="62" t="s">
        <v>314</v>
      </c>
      <c r="N14" s="11" t="s">
        <v>567</v>
      </c>
    </row>
    <row r="15" spans="1:14" s="11" customFormat="1" ht="159">
      <c r="A15" s="32" t="s">
        <v>527</v>
      </c>
      <c r="B15" s="33"/>
      <c r="C15" s="32" t="s">
        <v>81</v>
      </c>
      <c r="D15" s="32" t="s">
        <v>137</v>
      </c>
      <c r="E15" s="33"/>
      <c r="F15" s="33"/>
      <c r="G15" s="33"/>
      <c r="H15" s="37"/>
      <c r="I15" s="33" t="s">
        <v>29</v>
      </c>
      <c r="J15" s="37" t="s">
        <v>528</v>
      </c>
      <c r="K15" s="37" t="s">
        <v>529</v>
      </c>
      <c r="L15" s="37"/>
      <c r="M15" s="13" t="s">
        <v>530</v>
      </c>
      <c r="N15" s="11" t="s">
        <v>571</v>
      </c>
    </row>
    <row r="16" spans="1:14" s="11" customFormat="1" ht="29.25">
      <c r="A16" s="6" t="s">
        <v>554</v>
      </c>
      <c r="B16" s="12"/>
      <c r="C16" s="6" t="s">
        <v>55</v>
      </c>
      <c r="D16" s="6" t="s">
        <v>311</v>
      </c>
      <c r="E16" s="73"/>
      <c r="F16" s="4"/>
      <c r="G16" s="4"/>
      <c r="I16" s="4" t="s">
        <v>29</v>
      </c>
      <c r="M16" s="13" t="s">
        <v>495</v>
      </c>
      <c r="N16" s="11" t="s">
        <v>571</v>
      </c>
    </row>
  </sheetData>
  <autoFilter ref="A1:N16" xr:uid="{5799C501-20C4-4262-B89A-AED48523A4FC}"/>
  <hyperlinks>
    <hyperlink ref="L3" r:id="rId1" xr:uid="{D790A407-D145-43CA-B30C-F45737464D5D}"/>
    <hyperlink ref="L12" r:id="rId2" xr:uid="{80A04929-B3AD-408A-BD15-6FD937D6E65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A2A5-732A-4CE0-8BBF-4344E37AA5AB}">
  <dimension ref="A1:N9"/>
  <sheetViews>
    <sheetView workbookViewId="0">
      <pane xSplit="1" topLeftCell="D1" activePane="topRight" state="frozen"/>
      <selection pane="topRight" activeCell="J8" sqref="J8"/>
    </sheetView>
  </sheetViews>
  <sheetFormatPr defaultRowHeight="15"/>
  <cols>
    <col min="1" max="1" width="20.7109375" customWidth="1"/>
    <col min="2" max="2" width="9.140625" customWidth="1"/>
    <col min="3" max="3" width="27.7109375" customWidth="1"/>
    <col min="4" max="4" width="19.5703125" customWidth="1"/>
    <col min="5" max="5" width="29.5703125" customWidth="1"/>
    <col min="6" max="6" width="29" customWidth="1"/>
    <col min="7" max="7" width="21" customWidth="1"/>
    <col min="8" max="8" width="0" hidden="1" customWidth="1"/>
    <col min="9" max="9" width="25" customWidth="1"/>
    <col min="10" max="10" width="31.5703125" customWidth="1"/>
    <col min="11" max="11" width="27.140625" customWidth="1"/>
    <col min="13" max="13" width="31.140625" customWidth="1"/>
    <col min="14" max="14" width="48.42578125" customWidth="1"/>
  </cols>
  <sheetData>
    <row r="1" spans="1:14" s="75" customFormat="1" ht="29.25">
      <c r="A1" s="74" t="s">
        <v>572</v>
      </c>
      <c r="B1" s="74" t="s">
        <v>11</v>
      </c>
      <c r="C1" s="74" t="s">
        <v>12</v>
      </c>
      <c r="D1" s="74" t="s">
        <v>13</v>
      </c>
      <c r="E1" s="74" t="s">
        <v>14</v>
      </c>
      <c r="F1" s="74" t="s">
        <v>15</v>
      </c>
      <c r="G1" s="74" t="s">
        <v>16</v>
      </c>
      <c r="H1" s="74" t="s">
        <v>17</v>
      </c>
      <c r="I1" s="74" t="s">
        <v>18</v>
      </c>
      <c r="J1" s="74" t="s">
        <v>19</v>
      </c>
      <c r="K1" s="74" t="s">
        <v>20</v>
      </c>
      <c r="L1" s="74" t="s">
        <v>21</v>
      </c>
      <c r="M1" s="74" t="s">
        <v>22</v>
      </c>
      <c r="N1" s="44" t="s">
        <v>573</v>
      </c>
    </row>
    <row r="2" spans="1:14" s="11" customFormat="1" ht="57.75">
      <c r="A2" s="32" t="s">
        <v>181</v>
      </c>
      <c r="B2" s="33"/>
      <c r="C2" s="32" t="s">
        <v>90</v>
      </c>
      <c r="D2" s="32" t="s">
        <v>182</v>
      </c>
      <c r="E2" s="33"/>
      <c r="F2" s="33"/>
      <c r="G2" s="33"/>
      <c r="H2" s="37"/>
      <c r="I2" s="33" t="s">
        <v>37</v>
      </c>
      <c r="J2" s="37" t="s">
        <v>183</v>
      </c>
      <c r="K2" s="37" t="s">
        <v>184</v>
      </c>
      <c r="L2" s="45" t="s">
        <v>122</v>
      </c>
      <c r="M2" s="13" t="s">
        <v>185</v>
      </c>
    </row>
    <row r="3" spans="1:14" s="11" customFormat="1" ht="72.75">
      <c r="A3" s="32" t="s">
        <v>193</v>
      </c>
      <c r="B3" s="33"/>
      <c r="C3" s="32" t="s">
        <v>63</v>
      </c>
      <c r="D3" s="32" t="s">
        <v>194</v>
      </c>
      <c r="E3" s="33" t="s">
        <v>195</v>
      </c>
      <c r="F3" s="33" t="s">
        <v>196</v>
      </c>
      <c r="G3" s="33" t="s">
        <v>197</v>
      </c>
      <c r="H3" s="37"/>
      <c r="I3" s="33" t="s">
        <v>198</v>
      </c>
      <c r="J3" s="37" t="s">
        <v>199</v>
      </c>
      <c r="K3" s="37" t="s">
        <v>200</v>
      </c>
      <c r="L3" s="13"/>
      <c r="M3" s="13" t="s">
        <v>201</v>
      </c>
    </row>
    <row r="4" spans="1:14" s="11" customFormat="1" ht="130.5">
      <c r="A4" s="20" t="s">
        <v>286</v>
      </c>
      <c r="B4" s="21"/>
      <c r="C4" s="20" t="s">
        <v>90</v>
      </c>
      <c r="D4" s="20" t="s">
        <v>177</v>
      </c>
      <c r="E4" s="21" t="s">
        <v>287</v>
      </c>
      <c r="F4" s="21" t="s">
        <v>288</v>
      </c>
      <c r="G4" s="21"/>
      <c r="H4" s="30"/>
      <c r="I4" s="21" t="s">
        <v>37</v>
      </c>
      <c r="J4" s="30" t="s">
        <v>289</v>
      </c>
      <c r="K4" s="30" t="s">
        <v>290</v>
      </c>
      <c r="L4" s="13"/>
      <c r="M4" s="13" t="s">
        <v>291</v>
      </c>
    </row>
    <row r="5" spans="1:14" s="11" customFormat="1" ht="57.75">
      <c r="A5" s="57" t="s">
        <v>296</v>
      </c>
      <c r="B5" s="58"/>
      <c r="C5" s="57" t="s">
        <v>90</v>
      </c>
      <c r="D5" s="57" t="s">
        <v>187</v>
      </c>
      <c r="E5" s="58"/>
      <c r="F5" s="58"/>
      <c r="G5" s="58"/>
      <c r="H5" s="61"/>
      <c r="I5" s="58" t="s">
        <v>37</v>
      </c>
      <c r="J5" s="61" t="s">
        <v>297</v>
      </c>
      <c r="K5" s="61" t="s">
        <v>574</v>
      </c>
      <c r="L5" s="13"/>
      <c r="M5" s="13" t="s">
        <v>299</v>
      </c>
    </row>
    <row r="6" spans="1:14" s="11" customFormat="1" ht="57.75">
      <c r="A6" s="20" t="s">
        <v>463</v>
      </c>
      <c r="B6" s="21"/>
      <c r="C6" s="20" t="s">
        <v>90</v>
      </c>
      <c r="D6" s="20" t="s">
        <v>160</v>
      </c>
      <c r="E6" s="21"/>
      <c r="F6" s="21"/>
      <c r="G6" s="21"/>
      <c r="H6" s="30"/>
      <c r="I6" s="21" t="s">
        <v>37</v>
      </c>
      <c r="J6" s="30" t="s">
        <v>464</v>
      </c>
      <c r="K6" s="30" t="s">
        <v>465</v>
      </c>
      <c r="L6" s="30"/>
      <c r="M6" s="13" t="s">
        <v>466</v>
      </c>
    </row>
    <row r="7" spans="1:14" s="11" customFormat="1" ht="57.75">
      <c r="A7" s="20" t="s">
        <v>549</v>
      </c>
      <c r="B7" s="29"/>
      <c r="C7" s="20" t="s">
        <v>90</v>
      </c>
      <c r="D7" s="20" t="s">
        <v>301</v>
      </c>
      <c r="E7" s="21" t="s">
        <v>550</v>
      </c>
      <c r="F7" s="21" t="s">
        <v>551</v>
      </c>
      <c r="G7" s="21" t="s">
        <v>552</v>
      </c>
      <c r="H7" s="30"/>
      <c r="I7" s="21" t="s">
        <v>37</v>
      </c>
      <c r="J7" s="30"/>
      <c r="K7" s="30" t="s">
        <v>553</v>
      </c>
      <c r="L7" s="30"/>
      <c r="M7" s="13" t="s">
        <v>466</v>
      </c>
    </row>
    <row r="8" spans="1:14" ht="43.5">
      <c r="A8" s="11" t="s">
        <v>417</v>
      </c>
      <c r="C8" s="11" t="s">
        <v>55</v>
      </c>
      <c r="D8" s="11" t="s">
        <v>338</v>
      </c>
    </row>
    <row r="9" spans="1:14" ht="29.25">
      <c r="A9" t="s">
        <v>368</v>
      </c>
      <c r="C9" s="11" t="s">
        <v>90</v>
      </c>
      <c r="D9" s="11" t="s">
        <v>253</v>
      </c>
    </row>
  </sheetData>
  <hyperlinks>
    <hyperlink ref="L2" r:id="rId1" location="search=promo%20calendar" xr:uid="{9F497B61-0670-4812-8D52-CFAA4344A19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D04F9-7907-4C19-81FE-BA0897B9D2CF}">
  <dimension ref="A1:H10"/>
  <sheetViews>
    <sheetView topLeftCell="A5" workbookViewId="0">
      <selection activeCell="A12" sqref="A12"/>
    </sheetView>
  </sheetViews>
  <sheetFormatPr defaultRowHeight="15"/>
  <cols>
    <col min="1" max="1" width="54" style="11" customWidth="1"/>
    <col min="2" max="2" width="56.140625" style="11" customWidth="1"/>
    <col min="3" max="3" width="29.7109375" customWidth="1"/>
    <col min="4" max="4" width="32" customWidth="1"/>
  </cols>
  <sheetData>
    <row r="1" spans="1:8">
      <c r="A1" s="83" t="s">
        <v>575</v>
      </c>
      <c r="B1" s="84" t="s">
        <v>576</v>
      </c>
      <c r="C1" s="84" t="s">
        <v>10</v>
      </c>
      <c r="D1" s="84" t="s">
        <v>577</v>
      </c>
    </row>
    <row r="2" spans="1:8" ht="57.75">
      <c r="A2" s="85" t="s">
        <v>578</v>
      </c>
      <c r="B2" s="90" t="s">
        <v>579</v>
      </c>
      <c r="C2" s="86" t="s">
        <v>30</v>
      </c>
      <c r="D2" s="86" t="s">
        <v>580</v>
      </c>
      <c r="E2" s="77"/>
      <c r="F2" s="77"/>
      <c r="G2" s="77"/>
      <c r="H2" s="75"/>
    </row>
    <row r="3" spans="1:8" ht="57.75">
      <c r="A3" s="87" t="s">
        <v>578</v>
      </c>
      <c r="B3" s="91" t="s">
        <v>579</v>
      </c>
      <c r="C3" s="88" t="s">
        <v>111</v>
      </c>
      <c r="D3" s="88" t="s">
        <v>581</v>
      </c>
      <c r="E3" s="3"/>
    </row>
    <row r="4" spans="1:8" ht="57.75">
      <c r="A4" s="87" t="s">
        <v>578</v>
      </c>
      <c r="B4" s="91" t="s">
        <v>579</v>
      </c>
      <c r="C4" s="88" t="s">
        <v>403</v>
      </c>
      <c r="D4" s="88" t="s">
        <v>582</v>
      </c>
    </row>
    <row r="5" spans="1:8" ht="57.75">
      <c r="A5" s="87" t="s">
        <v>578</v>
      </c>
      <c r="B5" s="91" t="s">
        <v>579</v>
      </c>
      <c r="C5" s="88" t="s">
        <v>496</v>
      </c>
      <c r="D5" s="88" t="s">
        <v>583</v>
      </c>
    </row>
    <row r="6" spans="1:8" ht="43.5">
      <c r="A6" s="87" t="s">
        <v>584</v>
      </c>
      <c r="B6" s="91" t="s">
        <v>585</v>
      </c>
      <c r="C6" s="88" t="s">
        <v>69</v>
      </c>
      <c r="D6" s="89">
        <v>46207</v>
      </c>
    </row>
    <row r="7" spans="1:8" ht="43.5">
      <c r="A7" s="87" t="s">
        <v>586</v>
      </c>
      <c r="B7" s="91" t="s">
        <v>585</v>
      </c>
      <c r="C7" s="88" t="s">
        <v>118</v>
      </c>
      <c r="D7" s="88" t="s">
        <v>587</v>
      </c>
    </row>
    <row r="8" spans="1:8" ht="43.5">
      <c r="A8" s="87" t="s">
        <v>586</v>
      </c>
      <c r="B8" s="91" t="s">
        <v>585</v>
      </c>
      <c r="C8" s="88" t="s">
        <v>330</v>
      </c>
      <c r="D8" s="88" t="s">
        <v>588</v>
      </c>
    </row>
    <row r="9" spans="1:8" ht="43.5">
      <c r="A9" s="87" t="s">
        <v>586</v>
      </c>
      <c r="B9" s="91" t="s">
        <v>585</v>
      </c>
      <c r="C9" s="88" t="s">
        <v>342</v>
      </c>
      <c r="D9" s="88" t="s">
        <v>589</v>
      </c>
    </row>
    <row r="10" spans="1:8" ht="43.5">
      <c r="A10" s="87" t="s">
        <v>586</v>
      </c>
      <c r="B10" s="91" t="s">
        <v>585</v>
      </c>
      <c r="C10" s="88" t="s">
        <v>506</v>
      </c>
      <c r="D10" s="88" t="s">
        <v>588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94B44-EC8D-459A-A6A4-2CFEFE973D80}">
  <sheetPr filterMode="1"/>
  <dimension ref="A1:N207"/>
  <sheetViews>
    <sheetView tabSelected="1" workbookViewId="0">
      <pane xSplit="4" ySplit="1" topLeftCell="J20" activePane="bottomRight" state="frozen"/>
      <selection pane="bottomRight" activeCell="M28" sqref="M28"/>
      <selection pane="bottomLeft"/>
      <selection pane="topRight"/>
    </sheetView>
  </sheetViews>
  <sheetFormatPr defaultRowHeight="15"/>
  <cols>
    <col min="1" max="1" width="42" customWidth="1"/>
    <col min="2" max="2" width="59.85546875" bestFit="1" customWidth="1"/>
    <col min="3" max="3" width="9.85546875" bestFit="1" customWidth="1"/>
    <col min="4" max="4" width="33.140625" bestFit="1" customWidth="1"/>
    <col min="5" max="5" width="32.140625" customWidth="1"/>
    <col min="6" max="6" width="55.5703125" bestFit="1" customWidth="1"/>
    <col min="7" max="7" width="32.42578125" customWidth="1"/>
    <col min="8" max="8" width="20.28515625" bestFit="1" customWidth="1"/>
    <col min="9" max="9" width="27" bestFit="1" customWidth="1"/>
    <col min="10" max="10" width="76.28515625" customWidth="1"/>
    <col min="11" max="11" width="18.7109375" bestFit="1" customWidth="1"/>
    <col min="12" max="12" width="96" customWidth="1"/>
    <col min="13" max="13" width="46.7109375" bestFit="1" customWidth="1"/>
    <col min="14" max="14" width="41.85546875" bestFit="1" customWidth="1"/>
  </cols>
  <sheetData>
    <row r="1" spans="1:14" s="1" customFormat="1">
      <c r="A1" s="1" t="s">
        <v>590</v>
      </c>
      <c r="B1" s="1" t="s">
        <v>13</v>
      </c>
      <c r="C1" s="1" t="s">
        <v>591</v>
      </c>
      <c r="D1" s="1" t="s">
        <v>10</v>
      </c>
      <c r="E1" s="1" t="s">
        <v>592</v>
      </c>
      <c r="F1" s="1" t="s">
        <v>593</v>
      </c>
      <c r="G1" s="1" t="s">
        <v>594</v>
      </c>
      <c r="H1" s="1" t="s">
        <v>21</v>
      </c>
      <c r="I1" s="1" t="s">
        <v>595</v>
      </c>
      <c r="J1" s="1" t="s">
        <v>596</v>
      </c>
      <c r="K1" s="1" t="s">
        <v>597</v>
      </c>
      <c r="L1" s="1" t="s">
        <v>598</v>
      </c>
      <c r="M1" s="1" t="s">
        <v>599</v>
      </c>
      <c r="N1" s="1" t="s">
        <v>600</v>
      </c>
    </row>
    <row r="2" spans="1:14" ht="29.25" hidden="1">
      <c r="A2" t="s">
        <v>90</v>
      </c>
      <c r="B2" t="s">
        <v>253</v>
      </c>
      <c r="C2" t="s">
        <v>601</v>
      </c>
      <c r="D2" t="s">
        <v>23</v>
      </c>
      <c r="E2" t="s">
        <v>602</v>
      </c>
      <c r="F2" s="77" t="s">
        <v>26</v>
      </c>
      <c r="G2" t="s">
        <v>27</v>
      </c>
      <c r="J2" s="75" t="s">
        <v>603</v>
      </c>
      <c r="N2" t="s">
        <v>604</v>
      </c>
    </row>
    <row r="3" spans="1:14" hidden="1">
      <c r="A3" t="s">
        <v>90</v>
      </c>
      <c r="B3" t="s">
        <v>253</v>
      </c>
      <c r="C3" t="s">
        <v>601</v>
      </c>
      <c r="D3" t="s">
        <v>34</v>
      </c>
      <c r="E3" t="s">
        <v>602</v>
      </c>
      <c r="F3" t="s">
        <v>36</v>
      </c>
      <c r="G3" t="s">
        <v>34</v>
      </c>
      <c r="N3" t="s">
        <v>604</v>
      </c>
    </row>
    <row r="4" spans="1:14" ht="29.25" hidden="1">
      <c r="A4" t="s">
        <v>90</v>
      </c>
      <c r="B4" t="s">
        <v>253</v>
      </c>
      <c r="C4" t="s">
        <v>601</v>
      </c>
      <c r="D4" t="s">
        <v>97</v>
      </c>
      <c r="E4" t="s">
        <v>602</v>
      </c>
      <c r="F4" s="77" t="s">
        <v>71</v>
      </c>
      <c r="G4" s="77" t="s">
        <v>99</v>
      </c>
      <c r="H4" s="77"/>
      <c r="I4" s="77"/>
      <c r="J4" s="11" t="s">
        <v>605</v>
      </c>
      <c r="N4" t="s">
        <v>604</v>
      </c>
    </row>
    <row r="5" spans="1:14" hidden="1">
      <c r="A5" t="s">
        <v>90</v>
      </c>
      <c r="B5" t="s">
        <v>253</v>
      </c>
      <c r="C5" t="s">
        <v>601</v>
      </c>
      <c r="D5" t="s">
        <v>252</v>
      </c>
      <c r="E5" t="s">
        <v>602</v>
      </c>
      <c r="F5" s="75" t="s">
        <v>210</v>
      </c>
      <c r="G5" t="s">
        <v>606</v>
      </c>
      <c r="J5" s="75" t="s">
        <v>607</v>
      </c>
      <c r="N5" t="s">
        <v>604</v>
      </c>
    </row>
    <row r="6" spans="1:14" ht="43.5" hidden="1">
      <c r="A6" t="s">
        <v>90</v>
      </c>
      <c r="B6" t="s">
        <v>253</v>
      </c>
      <c r="C6" t="s">
        <v>601</v>
      </c>
      <c r="D6" t="s">
        <v>368</v>
      </c>
      <c r="E6" t="s">
        <v>602</v>
      </c>
      <c r="F6" t="s">
        <v>608</v>
      </c>
      <c r="G6" t="s">
        <v>609</v>
      </c>
      <c r="J6" t="s">
        <v>610</v>
      </c>
      <c r="K6" s="11" t="s">
        <v>611</v>
      </c>
      <c r="L6" s="11" t="s">
        <v>612</v>
      </c>
      <c r="M6" t="s">
        <v>613</v>
      </c>
      <c r="N6" t="s">
        <v>604</v>
      </c>
    </row>
    <row r="7" spans="1:14" hidden="1">
      <c r="A7" t="s">
        <v>90</v>
      </c>
      <c r="B7" t="s">
        <v>253</v>
      </c>
      <c r="C7" t="s">
        <v>601</v>
      </c>
      <c r="D7" t="s">
        <v>460</v>
      </c>
      <c r="E7" t="s">
        <v>602</v>
      </c>
      <c r="F7" s="77" t="s">
        <v>210</v>
      </c>
      <c r="G7" s="77" t="s">
        <v>461</v>
      </c>
      <c r="H7" s="77"/>
      <c r="I7" s="77"/>
      <c r="J7" s="75" t="s">
        <v>607</v>
      </c>
      <c r="N7" t="s">
        <v>604</v>
      </c>
    </row>
    <row r="8" spans="1:14" ht="72.75" hidden="1">
      <c r="A8" t="s">
        <v>90</v>
      </c>
      <c r="B8" t="s">
        <v>91</v>
      </c>
      <c r="C8" t="s">
        <v>601</v>
      </c>
      <c r="D8" t="s">
        <v>23</v>
      </c>
      <c r="E8" t="s">
        <v>602</v>
      </c>
      <c r="F8" s="77" t="s">
        <v>26</v>
      </c>
      <c r="G8" t="s">
        <v>27</v>
      </c>
      <c r="I8" s="75" t="s">
        <v>603</v>
      </c>
      <c r="J8" s="75" t="s">
        <v>603</v>
      </c>
      <c r="M8" t="s">
        <v>613</v>
      </c>
      <c r="N8" t="s">
        <v>614</v>
      </c>
    </row>
    <row r="9" spans="1:14" ht="231" hidden="1">
      <c r="A9" t="s">
        <v>90</v>
      </c>
      <c r="B9" t="s">
        <v>91</v>
      </c>
      <c r="C9" t="s">
        <v>601</v>
      </c>
      <c r="D9" t="s">
        <v>89</v>
      </c>
      <c r="E9" t="s">
        <v>615</v>
      </c>
      <c r="J9" s="6" t="s">
        <v>616</v>
      </c>
      <c r="K9" s="11" t="s">
        <v>617</v>
      </c>
      <c r="L9" s="11" t="s">
        <v>618</v>
      </c>
      <c r="M9" t="s">
        <v>619</v>
      </c>
      <c r="N9" t="s">
        <v>614</v>
      </c>
    </row>
    <row r="10" spans="1:14" ht="143.25" hidden="1" customHeight="1">
      <c r="A10" t="s">
        <v>90</v>
      </c>
      <c r="B10" t="s">
        <v>91</v>
      </c>
      <c r="C10" t="s">
        <v>601</v>
      </c>
      <c r="D10" t="s">
        <v>155</v>
      </c>
      <c r="E10" t="s">
        <v>615</v>
      </c>
      <c r="J10" s="75" t="s">
        <v>620</v>
      </c>
      <c r="K10" s="11" t="s">
        <v>621</v>
      </c>
      <c r="L10" s="11" t="s">
        <v>622</v>
      </c>
      <c r="M10" t="s">
        <v>619</v>
      </c>
      <c r="N10" t="s">
        <v>614</v>
      </c>
    </row>
    <row r="11" spans="1:14" ht="159" hidden="1">
      <c r="A11" t="s">
        <v>90</v>
      </c>
      <c r="B11" t="s">
        <v>91</v>
      </c>
      <c r="C11" t="s">
        <v>601</v>
      </c>
      <c r="D11" t="s">
        <v>257</v>
      </c>
      <c r="E11" t="s">
        <v>615</v>
      </c>
      <c r="J11" t="s">
        <v>258</v>
      </c>
      <c r="K11" s="11" t="s">
        <v>623</v>
      </c>
      <c r="L11" s="11" t="s">
        <v>618</v>
      </c>
      <c r="M11" t="s">
        <v>619</v>
      </c>
      <c r="N11" t="s">
        <v>614</v>
      </c>
    </row>
    <row r="12" spans="1:14" ht="29.25" hidden="1">
      <c r="A12" t="s">
        <v>90</v>
      </c>
      <c r="B12" t="s">
        <v>91</v>
      </c>
      <c r="C12" t="s">
        <v>601</v>
      </c>
      <c r="D12" t="s">
        <v>370</v>
      </c>
      <c r="E12" t="s">
        <v>602</v>
      </c>
      <c r="F12" s="75" t="s">
        <v>624</v>
      </c>
      <c r="G12" s="75" t="s">
        <v>625</v>
      </c>
      <c r="H12" s="75"/>
      <c r="I12" s="75"/>
      <c r="N12" t="s">
        <v>614</v>
      </c>
    </row>
    <row r="13" spans="1:14" ht="180" hidden="1" customHeight="1">
      <c r="A13" t="s">
        <v>90</v>
      </c>
      <c r="B13" t="s">
        <v>260</v>
      </c>
      <c r="C13" t="s">
        <v>601</v>
      </c>
      <c r="D13" t="s">
        <v>30</v>
      </c>
      <c r="E13" t="s">
        <v>615</v>
      </c>
      <c r="F13" s="77"/>
      <c r="G13" s="77"/>
      <c r="H13" s="77"/>
      <c r="I13" s="77"/>
      <c r="J13" t="s">
        <v>626</v>
      </c>
      <c r="K13" t="s">
        <v>627</v>
      </c>
      <c r="L13" s="11" t="s">
        <v>628</v>
      </c>
      <c r="M13" t="s">
        <v>619</v>
      </c>
      <c r="N13" t="s">
        <v>604</v>
      </c>
    </row>
    <row r="14" spans="1:14" ht="182.25" hidden="1" customHeight="1">
      <c r="A14" t="s">
        <v>90</v>
      </c>
      <c r="B14" t="s">
        <v>260</v>
      </c>
      <c r="C14" t="s">
        <v>601</v>
      </c>
      <c r="D14" t="s">
        <v>23</v>
      </c>
      <c r="E14" t="s">
        <v>615</v>
      </c>
      <c r="F14" s="77"/>
      <c r="J14" t="s">
        <v>626</v>
      </c>
      <c r="K14" t="s">
        <v>627</v>
      </c>
      <c r="L14" s="11" t="s">
        <v>628</v>
      </c>
      <c r="M14" t="s">
        <v>619</v>
      </c>
      <c r="N14" t="s">
        <v>604</v>
      </c>
    </row>
    <row r="15" spans="1:14" ht="177" hidden="1" customHeight="1">
      <c r="A15" t="s">
        <v>90</v>
      </c>
      <c r="B15" t="s">
        <v>260</v>
      </c>
      <c r="C15" t="s">
        <v>601</v>
      </c>
      <c r="D15" t="s">
        <v>45</v>
      </c>
      <c r="E15" t="s">
        <v>615</v>
      </c>
      <c r="F15" s="11"/>
      <c r="J15" t="s">
        <v>626</v>
      </c>
      <c r="K15" t="s">
        <v>627</v>
      </c>
      <c r="L15" s="11" t="s">
        <v>628</v>
      </c>
      <c r="M15" t="s">
        <v>619</v>
      </c>
      <c r="N15" t="s">
        <v>604</v>
      </c>
    </row>
    <row r="16" spans="1:14" ht="177.75" hidden="1" customHeight="1">
      <c r="A16" t="s">
        <v>90</v>
      </c>
      <c r="B16" t="s">
        <v>260</v>
      </c>
      <c r="C16" t="s">
        <v>601</v>
      </c>
      <c r="D16" t="s">
        <v>259</v>
      </c>
      <c r="E16" t="s">
        <v>615</v>
      </c>
      <c r="J16" t="s">
        <v>626</v>
      </c>
      <c r="K16" t="s">
        <v>627</v>
      </c>
      <c r="L16" s="11" t="s">
        <v>628</v>
      </c>
      <c r="M16" t="s">
        <v>619</v>
      </c>
      <c r="N16" t="s">
        <v>604</v>
      </c>
    </row>
    <row r="17" spans="1:14" ht="185.25" hidden="1" customHeight="1">
      <c r="A17" t="s">
        <v>90</v>
      </c>
      <c r="B17" t="s">
        <v>260</v>
      </c>
      <c r="C17" t="s">
        <v>601</v>
      </c>
      <c r="D17" t="s">
        <v>374</v>
      </c>
      <c r="E17" t="s">
        <v>615</v>
      </c>
      <c r="J17" t="s">
        <v>626</v>
      </c>
      <c r="K17" t="s">
        <v>627</v>
      </c>
      <c r="L17" s="11" t="s">
        <v>628</v>
      </c>
      <c r="M17" t="s">
        <v>619</v>
      </c>
      <c r="N17" t="s">
        <v>604</v>
      </c>
    </row>
    <row r="18" spans="1:14" ht="180.75" hidden="1" customHeight="1">
      <c r="A18" t="s">
        <v>90</v>
      </c>
      <c r="B18" t="s">
        <v>260</v>
      </c>
      <c r="C18" t="s">
        <v>601</v>
      </c>
      <c r="D18" t="s">
        <v>276</v>
      </c>
      <c r="E18" t="s">
        <v>615</v>
      </c>
      <c r="J18" t="s">
        <v>626</v>
      </c>
      <c r="K18" t="s">
        <v>627</v>
      </c>
      <c r="L18" s="11" t="s">
        <v>628</v>
      </c>
      <c r="M18" t="s">
        <v>619</v>
      </c>
      <c r="N18" t="s">
        <v>604</v>
      </c>
    </row>
    <row r="19" spans="1:14" ht="176.25" hidden="1" customHeight="1">
      <c r="A19" t="s">
        <v>90</v>
      </c>
      <c r="B19" t="s">
        <v>260</v>
      </c>
      <c r="C19" t="s">
        <v>601</v>
      </c>
      <c r="D19" t="s">
        <v>541</v>
      </c>
      <c r="E19" t="s">
        <v>615</v>
      </c>
      <c r="J19" t="s">
        <v>626</v>
      </c>
      <c r="K19" t="s">
        <v>627</v>
      </c>
      <c r="L19" s="11" t="s">
        <v>629</v>
      </c>
      <c r="M19" t="s">
        <v>619</v>
      </c>
      <c r="N19" t="s">
        <v>604</v>
      </c>
    </row>
    <row r="20" spans="1:14">
      <c r="A20" t="s">
        <v>90</v>
      </c>
      <c r="B20" t="s">
        <v>160</v>
      </c>
      <c r="C20" t="s">
        <v>601</v>
      </c>
      <c r="D20" t="s">
        <v>34</v>
      </c>
      <c r="E20" t="s">
        <v>602</v>
      </c>
      <c r="F20" t="s">
        <v>36</v>
      </c>
      <c r="G20" t="s">
        <v>34</v>
      </c>
      <c r="N20" t="s">
        <v>630</v>
      </c>
    </row>
    <row r="21" spans="1:14" ht="29.25">
      <c r="A21" t="s">
        <v>90</v>
      </c>
      <c r="B21" t="s">
        <v>160</v>
      </c>
      <c r="C21" t="s">
        <v>601</v>
      </c>
      <c r="D21" t="s">
        <v>39</v>
      </c>
      <c r="E21" t="s">
        <v>602</v>
      </c>
      <c r="F21" s="4" t="s">
        <v>631</v>
      </c>
      <c r="G21" s="4" t="s">
        <v>632</v>
      </c>
      <c r="N21" t="s">
        <v>630</v>
      </c>
    </row>
    <row r="22" spans="1:14" ht="72.75" hidden="1">
      <c r="A22" t="s">
        <v>90</v>
      </c>
      <c r="B22" t="s">
        <v>160</v>
      </c>
      <c r="C22" t="s">
        <v>601</v>
      </c>
      <c r="D22" t="s">
        <v>159</v>
      </c>
      <c r="E22" t="s">
        <v>615</v>
      </c>
      <c r="J22" t="s">
        <v>162</v>
      </c>
      <c r="K22" s="78" t="s">
        <v>633</v>
      </c>
      <c r="L22" s="11" t="s">
        <v>634</v>
      </c>
      <c r="M22" t="s">
        <v>619</v>
      </c>
      <c r="N22" s="11" t="s">
        <v>635</v>
      </c>
    </row>
    <row r="23" spans="1:14" ht="57.75" hidden="1">
      <c r="A23" t="s">
        <v>90</v>
      </c>
      <c r="B23" t="s">
        <v>160</v>
      </c>
      <c r="C23" t="s">
        <v>601</v>
      </c>
      <c r="D23" t="s">
        <v>265</v>
      </c>
      <c r="E23" t="s">
        <v>615</v>
      </c>
      <c r="J23" t="s">
        <v>162</v>
      </c>
      <c r="K23" s="78" t="s">
        <v>633</v>
      </c>
      <c r="L23" s="78" t="s">
        <v>636</v>
      </c>
      <c r="M23" t="s">
        <v>619</v>
      </c>
      <c r="N23" s="11" t="s">
        <v>635</v>
      </c>
    </row>
    <row r="24" spans="1:14" ht="57.75" hidden="1">
      <c r="A24" t="s">
        <v>90</v>
      </c>
      <c r="B24" t="s">
        <v>160</v>
      </c>
      <c r="C24" t="s">
        <v>601</v>
      </c>
      <c r="D24" t="s">
        <v>375</v>
      </c>
      <c r="E24" t="s">
        <v>615</v>
      </c>
      <c r="J24" t="s">
        <v>162</v>
      </c>
      <c r="K24" s="78" t="s">
        <v>633</v>
      </c>
      <c r="L24" s="78" t="s">
        <v>637</v>
      </c>
      <c r="M24" t="s">
        <v>619</v>
      </c>
      <c r="N24" s="11" t="s">
        <v>635</v>
      </c>
    </row>
    <row r="25" spans="1:14" s="10" customFormat="1">
      <c r="A25" t="s">
        <v>90</v>
      </c>
      <c r="B25" s="10" t="s">
        <v>160</v>
      </c>
      <c r="C25" s="10" t="s">
        <v>601</v>
      </c>
      <c r="D25" s="10" t="s">
        <v>463</v>
      </c>
      <c r="E25" s="10" t="s">
        <v>615</v>
      </c>
      <c r="J25" s="10" t="s">
        <v>638</v>
      </c>
      <c r="K25" s="10" t="s">
        <v>639</v>
      </c>
      <c r="L25" s="10" t="s">
        <v>640</v>
      </c>
      <c r="M25" s="10" t="s">
        <v>619</v>
      </c>
      <c r="N25" s="10" t="s">
        <v>630</v>
      </c>
    </row>
    <row r="26" spans="1:14" ht="29.25">
      <c r="A26" t="s">
        <v>90</v>
      </c>
      <c r="B26" t="s">
        <v>164</v>
      </c>
      <c r="C26" t="s">
        <v>641</v>
      </c>
      <c r="D26" t="s">
        <v>23</v>
      </c>
      <c r="E26" t="s">
        <v>602</v>
      </c>
      <c r="F26" s="77" t="s">
        <v>26</v>
      </c>
      <c r="G26" t="s">
        <v>27</v>
      </c>
      <c r="J26" s="75" t="s">
        <v>603</v>
      </c>
      <c r="N26" t="s">
        <v>630</v>
      </c>
    </row>
    <row r="27" spans="1:14" ht="29.25">
      <c r="A27" t="s">
        <v>90</v>
      </c>
      <c r="B27" t="s">
        <v>164</v>
      </c>
      <c r="C27" t="s">
        <v>641</v>
      </c>
      <c r="D27" t="s">
        <v>39</v>
      </c>
      <c r="E27" t="s">
        <v>602</v>
      </c>
      <c r="F27" s="4" t="s">
        <v>631</v>
      </c>
      <c r="G27" s="4" t="s">
        <v>632</v>
      </c>
      <c r="N27" t="s">
        <v>630</v>
      </c>
    </row>
    <row r="28" spans="1:14" ht="87">
      <c r="A28" t="s">
        <v>90</v>
      </c>
      <c r="B28" t="s">
        <v>164</v>
      </c>
      <c r="C28" t="s">
        <v>641</v>
      </c>
      <c r="D28" t="s">
        <v>163</v>
      </c>
      <c r="E28" t="s">
        <v>602</v>
      </c>
      <c r="F28" s="11" t="s">
        <v>165</v>
      </c>
      <c r="G28" s="11" t="s">
        <v>166</v>
      </c>
      <c r="J28" t="s">
        <v>642</v>
      </c>
      <c r="K28" s="78" t="s">
        <v>621</v>
      </c>
      <c r="L28" s="78" t="s">
        <v>643</v>
      </c>
      <c r="M28" t="s">
        <v>619</v>
      </c>
      <c r="N28" t="s">
        <v>630</v>
      </c>
    </row>
    <row r="29" spans="1:14" ht="87">
      <c r="A29" t="s">
        <v>90</v>
      </c>
      <c r="B29" t="s">
        <v>164</v>
      </c>
      <c r="C29" t="s">
        <v>641</v>
      </c>
      <c r="D29" t="s">
        <v>271</v>
      </c>
      <c r="E29" t="s">
        <v>615</v>
      </c>
      <c r="J29" t="s">
        <v>644</v>
      </c>
      <c r="K29" s="78" t="s">
        <v>645</v>
      </c>
      <c r="L29" s="78" t="s">
        <v>643</v>
      </c>
      <c r="M29" t="s">
        <v>619</v>
      </c>
      <c r="N29" t="s">
        <v>630</v>
      </c>
    </row>
    <row r="30" spans="1:14" ht="87">
      <c r="A30" t="s">
        <v>90</v>
      </c>
      <c r="B30" t="s">
        <v>164</v>
      </c>
      <c r="C30" t="s">
        <v>641</v>
      </c>
      <c r="D30" t="s">
        <v>380</v>
      </c>
      <c r="E30" t="s">
        <v>602</v>
      </c>
      <c r="F30" s="78" t="s">
        <v>371</v>
      </c>
      <c r="G30" s="46" t="s">
        <v>372</v>
      </c>
      <c r="J30" t="s">
        <v>646</v>
      </c>
      <c r="K30" s="78" t="s">
        <v>645</v>
      </c>
      <c r="L30" s="78" t="s">
        <v>643</v>
      </c>
      <c r="M30" t="s">
        <v>619</v>
      </c>
      <c r="N30" t="s">
        <v>630</v>
      </c>
    </row>
    <row r="31" spans="1:14" ht="87">
      <c r="A31" t="s">
        <v>90</v>
      </c>
      <c r="B31" t="s">
        <v>164</v>
      </c>
      <c r="C31" t="s">
        <v>641</v>
      </c>
      <c r="D31" t="s">
        <v>467</v>
      </c>
      <c r="E31" t="s">
        <v>602</v>
      </c>
      <c r="F31" s="46" t="s">
        <v>468</v>
      </c>
      <c r="G31" s="11" t="s">
        <v>469</v>
      </c>
      <c r="J31" t="s">
        <v>647</v>
      </c>
      <c r="K31" s="78" t="s">
        <v>645</v>
      </c>
      <c r="L31" s="78" t="s">
        <v>643</v>
      </c>
      <c r="M31" t="s">
        <v>619</v>
      </c>
      <c r="N31" t="s">
        <v>630</v>
      </c>
    </row>
    <row r="32" spans="1:14" ht="43.5">
      <c r="A32" t="s">
        <v>90</v>
      </c>
      <c r="B32" t="s">
        <v>164</v>
      </c>
      <c r="C32" t="s">
        <v>641</v>
      </c>
      <c r="D32" t="s">
        <v>545</v>
      </c>
      <c r="E32" s="94" t="s">
        <v>602</v>
      </c>
      <c r="F32" s="11" t="s">
        <v>546</v>
      </c>
      <c r="J32" t="s">
        <v>648</v>
      </c>
      <c r="K32" s="78" t="s">
        <v>649</v>
      </c>
      <c r="L32" s="78" t="s">
        <v>650</v>
      </c>
      <c r="M32" t="s">
        <v>619</v>
      </c>
      <c r="N32" t="s">
        <v>630</v>
      </c>
    </row>
    <row r="33" spans="1:14" ht="29.25">
      <c r="A33" t="s">
        <v>90</v>
      </c>
      <c r="B33" t="s">
        <v>169</v>
      </c>
      <c r="C33" t="s">
        <v>641</v>
      </c>
      <c r="D33" t="s">
        <v>30</v>
      </c>
      <c r="E33" t="s">
        <v>602</v>
      </c>
      <c r="F33" s="77" t="s">
        <v>302</v>
      </c>
      <c r="G33" s="77" t="s">
        <v>27</v>
      </c>
      <c r="H33" s="77"/>
      <c r="I33" s="77"/>
      <c r="J33" s="75" t="s">
        <v>651</v>
      </c>
      <c r="N33" t="s">
        <v>630</v>
      </c>
    </row>
    <row r="34" spans="1:14" ht="29.25">
      <c r="A34" t="s">
        <v>90</v>
      </c>
      <c r="B34" t="s">
        <v>169</v>
      </c>
      <c r="C34" t="s">
        <v>641</v>
      </c>
      <c r="D34" t="s">
        <v>23</v>
      </c>
      <c r="E34" t="s">
        <v>602</v>
      </c>
      <c r="F34" s="77" t="s">
        <v>26</v>
      </c>
      <c r="G34" t="s">
        <v>27</v>
      </c>
      <c r="J34" s="75" t="s">
        <v>603</v>
      </c>
      <c r="N34" t="s">
        <v>630</v>
      </c>
    </row>
    <row r="35" spans="1:14" ht="115.5">
      <c r="A35" t="s">
        <v>90</v>
      </c>
      <c r="B35" t="s">
        <v>169</v>
      </c>
      <c r="C35" t="s">
        <v>641</v>
      </c>
      <c r="D35" t="s">
        <v>168</v>
      </c>
      <c r="E35" t="s">
        <v>615</v>
      </c>
      <c r="K35" t="s">
        <v>627</v>
      </c>
      <c r="L35" s="11" t="s">
        <v>652</v>
      </c>
      <c r="M35" t="s">
        <v>619</v>
      </c>
      <c r="N35" t="s">
        <v>630</v>
      </c>
    </row>
    <row r="36" spans="1:14" ht="57.75">
      <c r="A36" t="s">
        <v>90</v>
      </c>
      <c r="B36" t="s">
        <v>169</v>
      </c>
      <c r="C36" t="s">
        <v>641</v>
      </c>
      <c r="D36" t="s">
        <v>276</v>
      </c>
      <c r="E36" t="s">
        <v>602</v>
      </c>
      <c r="F36" s="75" t="s">
        <v>653</v>
      </c>
      <c r="G36" s="75" t="s">
        <v>654</v>
      </c>
      <c r="N36" t="s">
        <v>630</v>
      </c>
    </row>
    <row r="37" spans="1:14" ht="29.25">
      <c r="A37" t="s">
        <v>90</v>
      </c>
      <c r="B37" t="s">
        <v>169</v>
      </c>
      <c r="C37" t="s">
        <v>641</v>
      </c>
      <c r="D37" t="s">
        <v>382</v>
      </c>
      <c r="E37" t="s">
        <v>602</v>
      </c>
      <c r="F37" s="4" t="s">
        <v>383</v>
      </c>
      <c r="G37" s="4" t="s">
        <v>384</v>
      </c>
      <c r="N37" t="s">
        <v>630</v>
      </c>
    </row>
    <row r="38" spans="1:14">
      <c r="A38" t="s">
        <v>90</v>
      </c>
      <c r="B38" t="s">
        <v>169</v>
      </c>
      <c r="C38" t="s">
        <v>641</v>
      </c>
      <c r="D38" t="s">
        <v>473</v>
      </c>
      <c r="E38" t="s">
        <v>655</v>
      </c>
      <c r="K38" t="s">
        <v>627</v>
      </c>
      <c r="L38" t="s">
        <v>656</v>
      </c>
      <c r="M38" t="s">
        <v>613</v>
      </c>
      <c r="N38" t="s">
        <v>630</v>
      </c>
    </row>
    <row r="39" spans="1:14" ht="29.25">
      <c r="A39" t="s">
        <v>90</v>
      </c>
      <c r="B39" t="s">
        <v>174</v>
      </c>
      <c r="C39" t="s">
        <v>641</v>
      </c>
      <c r="D39" t="s">
        <v>23</v>
      </c>
      <c r="E39" t="s">
        <v>602</v>
      </c>
      <c r="F39" s="77" t="s">
        <v>26</v>
      </c>
      <c r="G39" t="s">
        <v>27</v>
      </c>
      <c r="J39" s="75" t="s">
        <v>603</v>
      </c>
      <c r="N39" t="s">
        <v>630</v>
      </c>
    </row>
    <row r="40" spans="1:14" ht="29.25">
      <c r="A40" t="s">
        <v>90</v>
      </c>
      <c r="B40" t="s">
        <v>174</v>
      </c>
      <c r="C40" t="s">
        <v>641</v>
      </c>
      <c r="D40" t="s">
        <v>97</v>
      </c>
      <c r="E40" t="s">
        <v>602</v>
      </c>
      <c r="F40" s="77" t="s">
        <v>71</v>
      </c>
      <c r="G40" s="77" t="s">
        <v>99</v>
      </c>
      <c r="H40" s="77"/>
      <c r="I40" s="77"/>
      <c r="J40" s="11" t="s">
        <v>605</v>
      </c>
      <c r="N40" t="s">
        <v>630</v>
      </c>
    </row>
    <row r="41" spans="1:14">
      <c r="A41" t="s">
        <v>90</v>
      </c>
      <c r="B41" t="s">
        <v>174</v>
      </c>
      <c r="C41" t="s">
        <v>641</v>
      </c>
      <c r="D41" t="s">
        <v>173</v>
      </c>
      <c r="E41" t="s">
        <v>615</v>
      </c>
      <c r="J41" s="75" t="s">
        <v>657</v>
      </c>
      <c r="K41" s="46" t="s">
        <v>658</v>
      </c>
      <c r="L41" s="78" t="s">
        <v>659</v>
      </c>
      <c r="M41" t="s">
        <v>619</v>
      </c>
      <c r="N41" t="s">
        <v>630</v>
      </c>
    </row>
    <row r="42" spans="1:14">
      <c r="A42" t="s">
        <v>90</v>
      </c>
      <c r="B42" t="s">
        <v>174</v>
      </c>
      <c r="C42" t="s">
        <v>641</v>
      </c>
      <c r="D42" t="s">
        <v>282</v>
      </c>
      <c r="E42" t="s">
        <v>615</v>
      </c>
      <c r="J42" s="75" t="s">
        <v>657</v>
      </c>
      <c r="K42" s="46" t="s">
        <v>658</v>
      </c>
      <c r="L42" s="78" t="s">
        <v>659</v>
      </c>
      <c r="M42" t="s">
        <v>619</v>
      </c>
      <c r="N42" t="s">
        <v>630</v>
      </c>
    </row>
    <row r="43" spans="1:14">
      <c r="A43" t="s">
        <v>90</v>
      </c>
      <c r="B43" t="s">
        <v>174</v>
      </c>
      <c r="C43" t="s">
        <v>641</v>
      </c>
      <c r="D43" t="s">
        <v>385</v>
      </c>
      <c r="E43" t="s">
        <v>615</v>
      </c>
      <c r="J43" s="75" t="s">
        <v>657</v>
      </c>
      <c r="K43" s="46" t="s">
        <v>658</v>
      </c>
      <c r="L43" s="78" t="s">
        <v>659</v>
      </c>
      <c r="M43" t="s">
        <v>619</v>
      </c>
      <c r="N43" t="s">
        <v>630</v>
      </c>
    </row>
    <row r="44" spans="1:14" ht="43.5">
      <c r="A44" t="s">
        <v>90</v>
      </c>
      <c r="B44" t="s">
        <v>174</v>
      </c>
      <c r="C44" t="s">
        <v>641</v>
      </c>
      <c r="D44" t="s">
        <v>477</v>
      </c>
      <c r="E44" t="s">
        <v>602</v>
      </c>
      <c r="F44" s="75" t="s">
        <v>660</v>
      </c>
      <c r="G44" s="75" t="s">
        <v>479</v>
      </c>
      <c r="J44" s="75" t="s">
        <v>661</v>
      </c>
      <c r="N44" t="s">
        <v>630</v>
      </c>
    </row>
    <row r="45" spans="1:14" hidden="1">
      <c r="A45" t="s">
        <v>90</v>
      </c>
      <c r="B45" t="s">
        <v>177</v>
      </c>
      <c r="C45" t="s">
        <v>662</v>
      </c>
      <c r="D45" t="s">
        <v>34</v>
      </c>
      <c r="E45" t="s">
        <v>602</v>
      </c>
      <c r="F45" t="s">
        <v>36</v>
      </c>
      <c r="G45" t="s">
        <v>34</v>
      </c>
      <c r="N45" t="s">
        <v>614</v>
      </c>
    </row>
    <row r="46" spans="1:14" hidden="1">
      <c r="A46" t="s">
        <v>90</v>
      </c>
      <c r="B46" t="s">
        <v>177</v>
      </c>
      <c r="C46" t="s">
        <v>662</v>
      </c>
      <c r="D46" t="s">
        <v>101</v>
      </c>
      <c r="E46" t="s">
        <v>602</v>
      </c>
      <c r="F46" s="3" t="s">
        <v>71</v>
      </c>
      <c r="G46" s="3" t="s">
        <v>103</v>
      </c>
      <c r="N46" t="s">
        <v>614</v>
      </c>
    </row>
    <row r="47" spans="1:14" ht="156" hidden="1" customHeight="1">
      <c r="A47" t="s">
        <v>90</v>
      </c>
      <c r="B47" t="s">
        <v>177</v>
      </c>
      <c r="C47" t="s">
        <v>662</v>
      </c>
      <c r="D47" t="s">
        <v>176</v>
      </c>
      <c r="E47" t="s">
        <v>602</v>
      </c>
      <c r="F47" s="3" t="s">
        <v>36</v>
      </c>
      <c r="G47" s="3" t="s">
        <v>178</v>
      </c>
      <c r="J47" t="s">
        <v>638</v>
      </c>
      <c r="K47" s="11" t="s">
        <v>611</v>
      </c>
      <c r="L47" s="11" t="s">
        <v>663</v>
      </c>
      <c r="M47" t="s">
        <v>619</v>
      </c>
      <c r="N47" t="s">
        <v>614</v>
      </c>
    </row>
    <row r="48" spans="1:14" ht="105" hidden="1" customHeight="1">
      <c r="A48" t="s">
        <v>90</v>
      </c>
      <c r="B48" t="s">
        <v>177</v>
      </c>
      <c r="C48" t="s">
        <v>662</v>
      </c>
      <c r="D48" t="s">
        <v>286</v>
      </c>
      <c r="E48" t="s">
        <v>615</v>
      </c>
      <c r="J48" t="s">
        <v>290</v>
      </c>
      <c r="K48" s="46" t="s">
        <v>658</v>
      </c>
      <c r="L48" s="78" t="s">
        <v>664</v>
      </c>
      <c r="M48" t="s">
        <v>619</v>
      </c>
      <c r="N48" t="s">
        <v>614</v>
      </c>
    </row>
    <row r="49" spans="1:14" ht="29.25" hidden="1">
      <c r="A49" t="s">
        <v>90</v>
      </c>
      <c r="B49" t="s">
        <v>182</v>
      </c>
      <c r="C49" t="s">
        <v>662</v>
      </c>
      <c r="D49" t="s">
        <v>39</v>
      </c>
      <c r="E49" t="s">
        <v>602</v>
      </c>
      <c r="F49" s="4" t="s">
        <v>631</v>
      </c>
      <c r="G49" s="4" t="s">
        <v>632</v>
      </c>
      <c r="N49" t="s">
        <v>614</v>
      </c>
    </row>
    <row r="50" spans="1:14" hidden="1">
      <c r="A50" t="s">
        <v>90</v>
      </c>
      <c r="B50" t="s">
        <v>182</v>
      </c>
      <c r="C50" t="s">
        <v>662</v>
      </c>
      <c r="D50" t="s">
        <v>101</v>
      </c>
      <c r="E50" t="s">
        <v>602</v>
      </c>
      <c r="F50" s="3" t="s">
        <v>71</v>
      </c>
      <c r="G50" s="3" t="s">
        <v>103</v>
      </c>
      <c r="N50" t="s">
        <v>614</v>
      </c>
    </row>
    <row r="51" spans="1:14" hidden="1">
      <c r="A51" t="s">
        <v>90</v>
      </c>
      <c r="B51" s="10" t="s">
        <v>182</v>
      </c>
      <c r="C51" s="10" t="s">
        <v>662</v>
      </c>
      <c r="D51" s="10" t="s">
        <v>181</v>
      </c>
      <c r="E51" s="10" t="s">
        <v>615</v>
      </c>
      <c r="F51" s="10"/>
      <c r="G51" s="10"/>
      <c r="H51" s="18" t="s">
        <v>665</v>
      </c>
      <c r="I51" s="18"/>
      <c r="J51" s="10" t="s">
        <v>638</v>
      </c>
      <c r="K51" s="10" t="s">
        <v>666</v>
      </c>
      <c r="L51" s="92" t="s">
        <v>640</v>
      </c>
      <c r="M51" s="10" t="s">
        <v>619</v>
      </c>
      <c r="N51" t="s">
        <v>614</v>
      </c>
    </row>
    <row r="52" spans="1:14" ht="43.5" hidden="1">
      <c r="A52" t="s">
        <v>90</v>
      </c>
      <c r="B52" t="s">
        <v>182</v>
      </c>
      <c r="C52" t="s">
        <v>662</v>
      </c>
      <c r="D52" t="s">
        <v>292</v>
      </c>
      <c r="E52" t="s">
        <v>615</v>
      </c>
      <c r="H52" s="24" t="s">
        <v>665</v>
      </c>
      <c r="I52" s="24"/>
      <c r="J52" t="s">
        <v>667</v>
      </c>
      <c r="K52" s="78" t="s">
        <v>668</v>
      </c>
      <c r="L52" s="78" t="s">
        <v>669</v>
      </c>
      <c r="M52" t="s">
        <v>619</v>
      </c>
      <c r="N52" t="s">
        <v>614</v>
      </c>
    </row>
    <row r="53" spans="1:14" ht="43.5" hidden="1">
      <c r="A53" t="s">
        <v>90</v>
      </c>
      <c r="B53" t="s">
        <v>182</v>
      </c>
      <c r="C53" t="s">
        <v>662</v>
      </c>
      <c r="D53" t="s">
        <v>388</v>
      </c>
      <c r="E53" t="s">
        <v>615</v>
      </c>
      <c r="H53" s="24" t="s">
        <v>665</v>
      </c>
      <c r="I53" s="24"/>
      <c r="J53" t="s">
        <v>667</v>
      </c>
      <c r="K53" s="78" t="s">
        <v>668</v>
      </c>
      <c r="L53" s="78" t="s">
        <v>669</v>
      </c>
      <c r="M53" t="s">
        <v>619</v>
      </c>
      <c r="N53" t="s">
        <v>614</v>
      </c>
    </row>
    <row r="54" spans="1:14" hidden="1">
      <c r="A54" t="s">
        <v>90</v>
      </c>
      <c r="B54" t="s">
        <v>187</v>
      </c>
      <c r="C54" t="s">
        <v>662</v>
      </c>
      <c r="D54" t="s">
        <v>34</v>
      </c>
      <c r="E54" t="s">
        <v>602</v>
      </c>
      <c r="F54" t="s">
        <v>36</v>
      </c>
      <c r="G54" t="s">
        <v>34</v>
      </c>
      <c r="L54" t="s">
        <v>670</v>
      </c>
      <c r="N54" t="s">
        <v>604</v>
      </c>
    </row>
    <row r="55" spans="1:14" ht="29.25" hidden="1">
      <c r="A55" t="s">
        <v>90</v>
      </c>
      <c r="B55" t="s">
        <v>187</v>
      </c>
      <c r="C55" t="s">
        <v>662</v>
      </c>
      <c r="D55" t="s">
        <v>104</v>
      </c>
      <c r="E55" t="s">
        <v>602</v>
      </c>
      <c r="F55" t="s">
        <v>36</v>
      </c>
      <c r="G55" s="11" t="s">
        <v>671</v>
      </c>
      <c r="J55" t="s">
        <v>672</v>
      </c>
      <c r="N55" t="s">
        <v>604</v>
      </c>
    </row>
    <row r="56" spans="1:14" ht="29.25" hidden="1">
      <c r="A56" t="s">
        <v>90</v>
      </c>
      <c r="B56" t="s">
        <v>187</v>
      </c>
      <c r="C56" t="s">
        <v>662</v>
      </c>
      <c r="D56" t="s">
        <v>186</v>
      </c>
      <c r="E56" t="s">
        <v>602</v>
      </c>
      <c r="F56" t="s">
        <v>36</v>
      </c>
      <c r="G56" s="11" t="s">
        <v>671</v>
      </c>
      <c r="J56" t="s">
        <v>672</v>
      </c>
      <c r="N56" t="s">
        <v>604</v>
      </c>
    </row>
    <row r="57" spans="1:14" ht="29.25" hidden="1">
      <c r="A57" t="s">
        <v>90</v>
      </c>
      <c r="B57" t="s">
        <v>187</v>
      </c>
      <c r="C57" t="s">
        <v>662</v>
      </c>
      <c r="D57" t="s">
        <v>296</v>
      </c>
      <c r="E57" t="s">
        <v>673</v>
      </c>
      <c r="J57" t="s">
        <v>638</v>
      </c>
      <c r="K57" s="46" t="s">
        <v>674</v>
      </c>
      <c r="L57" s="11" t="s">
        <v>675</v>
      </c>
      <c r="M57" t="s">
        <v>619</v>
      </c>
      <c r="N57" t="s">
        <v>604</v>
      </c>
    </row>
    <row r="58" spans="1:14" hidden="1">
      <c r="A58" t="s">
        <v>90</v>
      </c>
      <c r="B58" t="s">
        <v>187</v>
      </c>
      <c r="C58" t="s">
        <v>662</v>
      </c>
      <c r="D58" t="s">
        <v>391</v>
      </c>
      <c r="E58" t="s">
        <v>655</v>
      </c>
      <c r="J58" t="s">
        <v>638</v>
      </c>
      <c r="K58" s="46" t="s">
        <v>674</v>
      </c>
      <c r="L58" t="s">
        <v>676</v>
      </c>
      <c r="M58" t="s">
        <v>619</v>
      </c>
      <c r="N58" t="s">
        <v>604</v>
      </c>
    </row>
    <row r="59" spans="1:14" ht="29.25" hidden="1">
      <c r="A59" t="s">
        <v>90</v>
      </c>
      <c r="B59" t="s">
        <v>187</v>
      </c>
      <c r="C59" t="s">
        <v>662</v>
      </c>
      <c r="D59" t="s">
        <v>482</v>
      </c>
      <c r="E59" t="s">
        <v>655</v>
      </c>
      <c r="J59" t="s">
        <v>677</v>
      </c>
      <c r="K59" s="46" t="s">
        <v>674</v>
      </c>
      <c r="L59" s="11" t="s">
        <v>678</v>
      </c>
      <c r="M59" t="s">
        <v>619</v>
      </c>
      <c r="N59" t="s">
        <v>604</v>
      </c>
    </row>
    <row r="60" spans="1:14" ht="29.25" hidden="1">
      <c r="A60" t="s">
        <v>90</v>
      </c>
      <c r="B60" t="s">
        <v>301</v>
      </c>
      <c r="C60" t="s">
        <v>662</v>
      </c>
      <c r="D60" t="s">
        <v>30</v>
      </c>
      <c r="E60" t="s">
        <v>602</v>
      </c>
      <c r="F60" s="77" t="s">
        <v>26</v>
      </c>
      <c r="G60" s="77" t="s">
        <v>27</v>
      </c>
      <c r="H60" s="77"/>
      <c r="I60" s="77"/>
      <c r="J60" s="75" t="s">
        <v>651</v>
      </c>
      <c r="N60" t="s">
        <v>614</v>
      </c>
    </row>
    <row r="61" spans="1:14" hidden="1">
      <c r="A61" t="s">
        <v>90</v>
      </c>
      <c r="B61" t="s">
        <v>301</v>
      </c>
      <c r="C61" t="s">
        <v>662</v>
      </c>
      <c r="D61" t="s">
        <v>34</v>
      </c>
      <c r="E61" t="s">
        <v>602</v>
      </c>
      <c r="F61" t="s">
        <v>36</v>
      </c>
      <c r="G61" t="s">
        <v>34</v>
      </c>
      <c r="N61" t="s">
        <v>614</v>
      </c>
    </row>
    <row r="62" spans="1:14" ht="29.25" hidden="1">
      <c r="A62" t="s">
        <v>90</v>
      </c>
      <c r="B62" t="s">
        <v>301</v>
      </c>
      <c r="C62" t="s">
        <v>662</v>
      </c>
      <c r="D62" t="s">
        <v>97</v>
      </c>
      <c r="E62" t="s">
        <v>602</v>
      </c>
      <c r="F62" s="77" t="s">
        <v>71</v>
      </c>
      <c r="G62" s="77" t="s">
        <v>99</v>
      </c>
      <c r="H62" s="77"/>
      <c r="I62" s="77"/>
      <c r="J62" s="11" t="s">
        <v>605</v>
      </c>
      <c r="N62" t="s">
        <v>614</v>
      </c>
    </row>
    <row r="63" spans="1:14" hidden="1">
      <c r="A63" t="s">
        <v>90</v>
      </c>
      <c r="B63" t="s">
        <v>301</v>
      </c>
      <c r="C63" t="s">
        <v>662</v>
      </c>
      <c r="D63" t="s">
        <v>300</v>
      </c>
      <c r="E63" t="s">
        <v>615</v>
      </c>
      <c r="J63" t="s">
        <v>667</v>
      </c>
      <c r="K63" s="78" t="s">
        <v>658</v>
      </c>
      <c r="L63" s="46" t="s">
        <v>679</v>
      </c>
      <c r="M63" t="s">
        <v>619</v>
      </c>
      <c r="N63" t="s">
        <v>614</v>
      </c>
    </row>
    <row r="64" spans="1:14" hidden="1">
      <c r="A64" t="s">
        <v>90</v>
      </c>
      <c r="B64" t="s">
        <v>301</v>
      </c>
      <c r="C64" t="s">
        <v>662</v>
      </c>
      <c r="D64" t="s">
        <v>393</v>
      </c>
      <c r="E64" t="s">
        <v>615</v>
      </c>
      <c r="J64" s="75" t="s">
        <v>680</v>
      </c>
      <c r="K64" s="78" t="s">
        <v>658</v>
      </c>
      <c r="L64" s="46" t="s">
        <v>679</v>
      </c>
      <c r="M64" t="s">
        <v>619</v>
      </c>
      <c r="N64" t="s">
        <v>614</v>
      </c>
    </row>
    <row r="65" spans="1:14" ht="29.25" hidden="1">
      <c r="A65" t="s">
        <v>90</v>
      </c>
      <c r="B65" t="s">
        <v>301</v>
      </c>
      <c r="C65" t="s">
        <v>662</v>
      </c>
      <c r="D65" t="s">
        <v>486</v>
      </c>
      <c r="E65" t="s">
        <v>615</v>
      </c>
      <c r="J65" s="75" t="s">
        <v>680</v>
      </c>
      <c r="K65" s="78" t="s">
        <v>658</v>
      </c>
      <c r="L65" s="78" t="s">
        <v>681</v>
      </c>
      <c r="M65" t="s">
        <v>619</v>
      </c>
      <c r="N65" t="s">
        <v>614</v>
      </c>
    </row>
    <row r="66" spans="1:14" ht="66.75" hidden="1" customHeight="1">
      <c r="A66" t="s">
        <v>90</v>
      </c>
      <c r="B66" t="s">
        <v>301</v>
      </c>
      <c r="C66" t="s">
        <v>662</v>
      </c>
      <c r="D66" t="s">
        <v>549</v>
      </c>
      <c r="E66" t="s">
        <v>615</v>
      </c>
      <c r="J66" s="75" t="s">
        <v>682</v>
      </c>
      <c r="K66" s="78" t="s">
        <v>683</v>
      </c>
      <c r="L66" s="78" t="s">
        <v>684</v>
      </c>
      <c r="M66" t="s">
        <v>619</v>
      </c>
      <c r="N66" t="s">
        <v>614</v>
      </c>
    </row>
    <row r="67" spans="1:14" hidden="1">
      <c r="A67" t="s">
        <v>55</v>
      </c>
      <c r="B67" t="s">
        <v>191</v>
      </c>
      <c r="C67" t="s">
        <v>601</v>
      </c>
      <c r="D67" t="s">
        <v>23</v>
      </c>
      <c r="E67" t="s">
        <v>685</v>
      </c>
      <c r="J67" s="46" t="s">
        <v>686</v>
      </c>
      <c r="N67" t="s">
        <v>685</v>
      </c>
    </row>
    <row r="68" spans="1:14" hidden="1">
      <c r="A68" t="s">
        <v>55</v>
      </c>
      <c r="B68" t="s">
        <v>191</v>
      </c>
      <c r="C68" t="s">
        <v>601</v>
      </c>
      <c r="D68" t="s">
        <v>39</v>
      </c>
      <c r="E68" t="s">
        <v>685</v>
      </c>
      <c r="J68" s="46" t="s">
        <v>686</v>
      </c>
      <c r="N68" t="s">
        <v>685</v>
      </c>
    </row>
    <row r="69" spans="1:14" hidden="1">
      <c r="A69" t="s">
        <v>55</v>
      </c>
      <c r="B69" t="s">
        <v>191</v>
      </c>
      <c r="C69" t="s">
        <v>601</v>
      </c>
      <c r="D69" t="s">
        <v>190</v>
      </c>
      <c r="E69" t="s">
        <v>685</v>
      </c>
      <c r="J69" s="46" t="s">
        <v>686</v>
      </c>
      <c r="N69" t="s">
        <v>685</v>
      </c>
    </row>
    <row r="70" spans="1:14" hidden="1">
      <c r="A70" t="s">
        <v>55</v>
      </c>
      <c r="B70" t="s">
        <v>191</v>
      </c>
      <c r="C70" t="s">
        <v>601</v>
      </c>
      <c r="D70" t="s">
        <v>307</v>
      </c>
      <c r="E70" t="s">
        <v>685</v>
      </c>
      <c r="J70" s="46" t="s">
        <v>686</v>
      </c>
      <c r="N70" t="s">
        <v>685</v>
      </c>
    </row>
    <row r="71" spans="1:14" hidden="1">
      <c r="A71" t="s">
        <v>55</v>
      </c>
      <c r="B71" t="s">
        <v>191</v>
      </c>
      <c r="C71" t="s">
        <v>601</v>
      </c>
      <c r="D71" t="s">
        <v>396</v>
      </c>
      <c r="E71" t="s">
        <v>685</v>
      </c>
      <c r="J71" s="46" t="s">
        <v>686</v>
      </c>
      <c r="N71" t="s">
        <v>685</v>
      </c>
    </row>
    <row r="72" spans="1:14" ht="57.75" hidden="1">
      <c r="A72" t="s">
        <v>55</v>
      </c>
      <c r="B72" t="s">
        <v>311</v>
      </c>
      <c r="C72" t="s">
        <v>601</v>
      </c>
      <c r="D72" t="s">
        <v>23</v>
      </c>
      <c r="E72" s="77" t="s">
        <v>602</v>
      </c>
      <c r="F72" s="77" t="s">
        <v>26</v>
      </c>
      <c r="G72" s="77" t="s">
        <v>27</v>
      </c>
      <c r="H72" s="77"/>
      <c r="I72" s="77"/>
      <c r="J72" s="75" t="s">
        <v>687</v>
      </c>
      <c r="N72" t="s">
        <v>630</v>
      </c>
    </row>
    <row r="73" spans="1:14" hidden="1">
      <c r="A73" t="s">
        <v>55</v>
      </c>
      <c r="B73" t="s">
        <v>311</v>
      </c>
      <c r="C73" t="s">
        <v>601</v>
      </c>
      <c r="D73" t="s">
        <v>111</v>
      </c>
      <c r="E73" t="s">
        <v>602</v>
      </c>
      <c r="F73" t="s">
        <v>195</v>
      </c>
      <c r="G73" t="s">
        <v>688</v>
      </c>
      <c r="J73" t="s">
        <v>689</v>
      </c>
      <c r="N73" t="s">
        <v>630</v>
      </c>
    </row>
    <row r="74" spans="1:14" hidden="1">
      <c r="A74" t="s">
        <v>55</v>
      </c>
      <c r="B74" t="s">
        <v>311</v>
      </c>
      <c r="C74" t="s">
        <v>601</v>
      </c>
      <c r="D74" t="s">
        <v>193</v>
      </c>
      <c r="E74" t="s">
        <v>602</v>
      </c>
      <c r="F74" t="s">
        <v>195</v>
      </c>
      <c r="G74" t="s">
        <v>688</v>
      </c>
      <c r="J74" t="s">
        <v>690</v>
      </c>
      <c r="N74" t="s">
        <v>630</v>
      </c>
    </row>
    <row r="75" spans="1:14" ht="43.5" hidden="1">
      <c r="A75" t="s">
        <v>55</v>
      </c>
      <c r="B75" t="s">
        <v>311</v>
      </c>
      <c r="C75" t="s">
        <v>601</v>
      </c>
      <c r="D75" t="s">
        <v>310</v>
      </c>
      <c r="E75" t="s">
        <v>602</v>
      </c>
      <c r="F75" t="s">
        <v>195</v>
      </c>
      <c r="G75" t="s">
        <v>691</v>
      </c>
      <c r="J75" s="11" t="s">
        <v>692</v>
      </c>
      <c r="N75" t="s">
        <v>630</v>
      </c>
    </row>
    <row r="76" spans="1:14" ht="43.5" hidden="1">
      <c r="A76" t="s">
        <v>55</v>
      </c>
      <c r="B76" t="s">
        <v>311</v>
      </c>
      <c r="C76" t="s">
        <v>601</v>
      </c>
      <c r="D76" t="s">
        <v>400</v>
      </c>
      <c r="E76" t="s">
        <v>602</v>
      </c>
      <c r="F76" t="s">
        <v>195</v>
      </c>
      <c r="G76" t="s">
        <v>693</v>
      </c>
      <c r="J76" s="11" t="s">
        <v>692</v>
      </c>
      <c r="N76" t="s">
        <v>630</v>
      </c>
    </row>
    <row r="77" spans="1:14" ht="29.25" hidden="1">
      <c r="A77" t="s">
        <v>55</v>
      </c>
      <c r="B77" t="s">
        <v>311</v>
      </c>
      <c r="C77" t="s">
        <v>601</v>
      </c>
      <c r="D77" t="s">
        <v>490</v>
      </c>
      <c r="E77" t="s">
        <v>615</v>
      </c>
      <c r="J77" t="s">
        <v>694</v>
      </c>
      <c r="K77" t="s">
        <v>695</v>
      </c>
      <c r="L77" s="78" t="s">
        <v>681</v>
      </c>
      <c r="M77" t="s">
        <v>619</v>
      </c>
      <c r="N77" t="s">
        <v>635</v>
      </c>
    </row>
    <row r="78" spans="1:14" hidden="1">
      <c r="A78" t="s">
        <v>55</v>
      </c>
      <c r="B78" t="s">
        <v>311</v>
      </c>
      <c r="C78" t="s">
        <v>601</v>
      </c>
      <c r="D78" t="s">
        <v>554</v>
      </c>
      <c r="E78" t="s">
        <v>615</v>
      </c>
      <c r="J78" t="s">
        <v>696</v>
      </c>
      <c r="K78" t="s">
        <v>695</v>
      </c>
      <c r="L78" t="s">
        <v>697</v>
      </c>
      <c r="M78" t="s">
        <v>619</v>
      </c>
      <c r="N78" t="s">
        <v>630</v>
      </c>
    </row>
    <row r="79" spans="1:14" ht="43.5" hidden="1">
      <c r="A79" t="s">
        <v>55</v>
      </c>
      <c r="B79" t="s">
        <v>203</v>
      </c>
      <c r="C79" t="s">
        <v>601</v>
      </c>
      <c r="D79" t="s">
        <v>30</v>
      </c>
      <c r="E79" t="s">
        <v>602</v>
      </c>
      <c r="F79" s="77" t="s">
        <v>26</v>
      </c>
      <c r="G79" s="77" t="s">
        <v>27</v>
      </c>
      <c r="H79" s="77"/>
      <c r="I79" s="77"/>
      <c r="J79" s="75" t="s">
        <v>33</v>
      </c>
      <c r="N79" t="s">
        <v>630</v>
      </c>
    </row>
    <row r="80" spans="1:14" ht="29.25" hidden="1">
      <c r="A80" t="s">
        <v>55</v>
      </c>
      <c r="B80" t="s">
        <v>203</v>
      </c>
      <c r="C80" t="s">
        <v>601</v>
      </c>
      <c r="D80" t="s">
        <v>111</v>
      </c>
      <c r="E80" t="s">
        <v>602</v>
      </c>
      <c r="F80" s="3" t="s">
        <v>71</v>
      </c>
      <c r="G80" s="3" t="s">
        <v>113</v>
      </c>
      <c r="H80" s="3"/>
      <c r="I80" s="3"/>
      <c r="J80" s="11" t="s">
        <v>698</v>
      </c>
      <c r="K80" s="11" t="s">
        <v>627</v>
      </c>
      <c r="L80" t="s">
        <v>699</v>
      </c>
      <c r="M80" t="s">
        <v>619</v>
      </c>
      <c r="N80" t="s">
        <v>630</v>
      </c>
    </row>
    <row r="81" spans="1:14" ht="87" hidden="1">
      <c r="A81" t="s">
        <v>55</v>
      </c>
      <c r="B81" t="s">
        <v>203</v>
      </c>
      <c r="C81" t="s">
        <v>601</v>
      </c>
      <c r="D81" t="s">
        <v>202</v>
      </c>
      <c r="E81" t="s">
        <v>602</v>
      </c>
      <c r="F81" s="11" t="s">
        <v>700</v>
      </c>
      <c r="G81" s="11" t="s">
        <v>701</v>
      </c>
      <c r="J81" s="11" t="s">
        <v>702</v>
      </c>
      <c r="N81" t="s">
        <v>630</v>
      </c>
    </row>
    <row r="82" spans="1:14" ht="87" hidden="1">
      <c r="A82" t="s">
        <v>55</v>
      </c>
      <c r="B82" t="s">
        <v>203</v>
      </c>
      <c r="C82" t="s">
        <v>601</v>
      </c>
      <c r="D82" t="s">
        <v>315</v>
      </c>
      <c r="E82" t="s">
        <v>602</v>
      </c>
      <c r="F82" t="s">
        <v>421</v>
      </c>
      <c r="G82" s="11" t="s">
        <v>703</v>
      </c>
      <c r="J82" s="11" t="s">
        <v>702</v>
      </c>
      <c r="N82" t="s">
        <v>630</v>
      </c>
    </row>
    <row r="83" spans="1:14" ht="72.75" hidden="1">
      <c r="A83" t="s">
        <v>55</v>
      </c>
      <c r="B83" t="s">
        <v>203</v>
      </c>
      <c r="C83" t="s">
        <v>601</v>
      </c>
      <c r="D83" t="s">
        <v>403</v>
      </c>
      <c r="E83" t="s">
        <v>655</v>
      </c>
      <c r="J83" s="11" t="s">
        <v>704</v>
      </c>
      <c r="K83" s="11" t="s">
        <v>627</v>
      </c>
      <c r="L83" s="11" t="s">
        <v>705</v>
      </c>
      <c r="M83" t="s">
        <v>613</v>
      </c>
      <c r="N83" t="s">
        <v>630</v>
      </c>
    </row>
    <row r="84" spans="1:14" ht="72.75" hidden="1">
      <c r="A84" t="s">
        <v>55</v>
      </c>
      <c r="B84" t="s">
        <v>203</v>
      </c>
      <c r="C84" t="s">
        <v>601</v>
      </c>
      <c r="D84" t="s">
        <v>496</v>
      </c>
      <c r="E84" t="s">
        <v>615</v>
      </c>
      <c r="J84" s="11" t="s">
        <v>706</v>
      </c>
      <c r="K84" s="11" t="s">
        <v>627</v>
      </c>
      <c r="L84" s="11" t="s">
        <v>707</v>
      </c>
      <c r="M84" t="s">
        <v>619</v>
      </c>
      <c r="N84" t="s">
        <v>630</v>
      </c>
    </row>
    <row r="85" spans="1:14" ht="72.75" hidden="1">
      <c r="A85" t="s">
        <v>55</v>
      </c>
      <c r="B85" t="s">
        <v>115</v>
      </c>
      <c r="C85" t="s">
        <v>601</v>
      </c>
      <c r="D85" t="s">
        <v>45</v>
      </c>
      <c r="E85" t="s">
        <v>615</v>
      </c>
      <c r="J85" s="11" t="s">
        <v>708</v>
      </c>
      <c r="K85" t="s">
        <v>627</v>
      </c>
      <c r="L85" s="11" t="s">
        <v>709</v>
      </c>
      <c r="M85" t="s">
        <v>619</v>
      </c>
      <c r="N85" t="s">
        <v>604</v>
      </c>
    </row>
    <row r="86" spans="1:14" ht="72.75" hidden="1">
      <c r="A86" t="s">
        <v>55</v>
      </c>
      <c r="B86" t="s">
        <v>115</v>
      </c>
      <c r="C86" t="s">
        <v>601</v>
      </c>
      <c r="D86" t="s">
        <v>114</v>
      </c>
      <c r="E86" t="s">
        <v>615</v>
      </c>
      <c r="J86" s="11" t="s">
        <v>708</v>
      </c>
      <c r="K86" t="s">
        <v>627</v>
      </c>
      <c r="L86" s="11" t="s">
        <v>709</v>
      </c>
      <c r="M86" t="s">
        <v>619</v>
      </c>
      <c r="N86" t="s">
        <v>604</v>
      </c>
    </row>
    <row r="87" spans="1:14" ht="72.75" hidden="1">
      <c r="A87" t="s">
        <v>55</v>
      </c>
      <c r="B87" t="s">
        <v>115</v>
      </c>
      <c r="C87" t="s">
        <v>601</v>
      </c>
      <c r="D87" t="s">
        <v>111</v>
      </c>
      <c r="E87" t="s">
        <v>615</v>
      </c>
      <c r="J87" s="11" t="s">
        <v>708</v>
      </c>
      <c r="K87" t="s">
        <v>627</v>
      </c>
      <c r="L87" s="11" t="s">
        <v>709</v>
      </c>
      <c r="M87" t="s">
        <v>619</v>
      </c>
      <c r="N87" t="s">
        <v>604</v>
      </c>
    </row>
    <row r="88" spans="1:14" ht="72.75" hidden="1">
      <c r="A88" t="s">
        <v>55</v>
      </c>
      <c r="B88" t="s">
        <v>115</v>
      </c>
      <c r="C88" t="s">
        <v>601</v>
      </c>
      <c r="D88" t="s">
        <v>321</v>
      </c>
      <c r="E88" t="s">
        <v>615</v>
      </c>
      <c r="J88" s="11" t="s">
        <v>708</v>
      </c>
      <c r="K88" t="s">
        <v>627</v>
      </c>
      <c r="L88" s="11" t="s">
        <v>709</v>
      </c>
      <c r="M88" t="s">
        <v>619</v>
      </c>
      <c r="N88" t="s">
        <v>604</v>
      </c>
    </row>
    <row r="89" spans="1:14" ht="72.75" hidden="1">
      <c r="A89" t="s">
        <v>55</v>
      </c>
      <c r="B89" t="s">
        <v>115</v>
      </c>
      <c r="C89" t="s">
        <v>601</v>
      </c>
      <c r="D89" t="s">
        <v>407</v>
      </c>
      <c r="E89" t="s">
        <v>615</v>
      </c>
      <c r="J89" s="11" t="s">
        <v>708</v>
      </c>
      <c r="K89" t="s">
        <v>627</v>
      </c>
      <c r="L89" s="11" t="s">
        <v>709</v>
      </c>
      <c r="M89" t="s">
        <v>619</v>
      </c>
      <c r="N89" t="s">
        <v>604</v>
      </c>
    </row>
    <row r="90" spans="1:14" ht="72.75" hidden="1">
      <c r="A90" t="s">
        <v>55</v>
      </c>
      <c r="B90" t="s">
        <v>115</v>
      </c>
      <c r="C90" t="s">
        <v>601</v>
      </c>
      <c r="D90" t="s">
        <v>500</v>
      </c>
      <c r="E90" t="s">
        <v>615</v>
      </c>
      <c r="J90" s="11" t="s">
        <v>708</v>
      </c>
      <c r="K90" t="s">
        <v>627</v>
      </c>
      <c r="L90" s="11" t="s">
        <v>709</v>
      </c>
      <c r="M90" t="s">
        <v>619</v>
      </c>
      <c r="N90" t="s">
        <v>604</v>
      </c>
    </row>
    <row r="91" spans="1:14" hidden="1">
      <c r="A91" t="s">
        <v>55</v>
      </c>
      <c r="B91" t="s">
        <v>56</v>
      </c>
      <c r="C91" t="s">
        <v>601</v>
      </c>
      <c r="D91" t="s">
        <v>54</v>
      </c>
      <c r="E91" t="s">
        <v>655</v>
      </c>
      <c r="J91" t="s">
        <v>9</v>
      </c>
      <c r="N91" t="s">
        <v>685</v>
      </c>
    </row>
    <row r="92" spans="1:14" hidden="1">
      <c r="A92" t="s">
        <v>55</v>
      </c>
      <c r="B92" t="s">
        <v>56</v>
      </c>
      <c r="C92" t="s">
        <v>601</v>
      </c>
      <c r="D92" t="s">
        <v>62</v>
      </c>
      <c r="E92" t="s">
        <v>655</v>
      </c>
      <c r="J92" t="s">
        <v>9</v>
      </c>
      <c r="N92" t="s">
        <v>685</v>
      </c>
    </row>
    <row r="93" spans="1:14" hidden="1">
      <c r="A93" t="s">
        <v>55</v>
      </c>
      <c r="B93" t="s">
        <v>56</v>
      </c>
      <c r="C93" t="s">
        <v>601</v>
      </c>
      <c r="D93" t="s">
        <v>111</v>
      </c>
      <c r="E93" t="s">
        <v>655</v>
      </c>
      <c r="J93" t="s">
        <v>9</v>
      </c>
      <c r="N93" t="s">
        <v>685</v>
      </c>
    </row>
    <row r="94" spans="1:14" hidden="1">
      <c r="A94" t="s">
        <v>55</v>
      </c>
      <c r="B94" t="s">
        <v>56</v>
      </c>
      <c r="C94" t="s">
        <v>601</v>
      </c>
      <c r="D94" t="s">
        <v>323</v>
      </c>
      <c r="E94" t="s">
        <v>655</v>
      </c>
      <c r="J94" t="s">
        <v>9</v>
      </c>
      <c r="N94" t="s">
        <v>685</v>
      </c>
    </row>
    <row r="95" spans="1:14" hidden="1">
      <c r="A95" t="s">
        <v>55</v>
      </c>
      <c r="B95" t="s">
        <v>56</v>
      </c>
      <c r="C95" t="s">
        <v>601</v>
      </c>
      <c r="D95" t="s">
        <v>409</v>
      </c>
      <c r="E95" t="s">
        <v>655</v>
      </c>
      <c r="J95" t="s">
        <v>9</v>
      </c>
      <c r="N95" t="s">
        <v>685</v>
      </c>
    </row>
    <row r="96" spans="1:14" hidden="1">
      <c r="A96" t="s">
        <v>55</v>
      </c>
      <c r="B96" t="s">
        <v>56</v>
      </c>
      <c r="C96" t="s">
        <v>601</v>
      </c>
      <c r="D96" t="s">
        <v>503</v>
      </c>
      <c r="E96" t="s">
        <v>655</v>
      </c>
      <c r="J96" t="s">
        <v>9</v>
      </c>
      <c r="N96" t="s">
        <v>685</v>
      </c>
    </row>
    <row r="97" spans="1:14" ht="57.75" hidden="1">
      <c r="A97" t="s">
        <v>55</v>
      </c>
      <c r="B97" t="s">
        <v>209</v>
      </c>
      <c r="C97" t="s">
        <v>641</v>
      </c>
      <c r="D97" t="s">
        <v>23</v>
      </c>
      <c r="E97" s="3" t="s">
        <v>602</v>
      </c>
      <c r="F97" s="3" t="s">
        <v>26</v>
      </c>
      <c r="G97" s="3" t="s">
        <v>27</v>
      </c>
      <c r="H97" s="3"/>
      <c r="I97" s="78" t="s">
        <v>710</v>
      </c>
      <c r="J97" s="78" t="s">
        <v>710</v>
      </c>
      <c r="M97" t="s">
        <v>613</v>
      </c>
      <c r="N97" t="s">
        <v>614</v>
      </c>
    </row>
    <row r="98" spans="1:14" ht="29.25" hidden="1">
      <c r="A98" t="s">
        <v>55</v>
      </c>
      <c r="B98" t="s">
        <v>209</v>
      </c>
      <c r="C98" t="s">
        <v>641</v>
      </c>
      <c r="D98" t="s">
        <v>111</v>
      </c>
      <c r="E98" s="3" t="s">
        <v>602</v>
      </c>
      <c r="F98" s="3" t="s">
        <v>71</v>
      </c>
      <c r="G98" s="3" t="s">
        <v>113</v>
      </c>
      <c r="H98" s="3"/>
      <c r="I98" s="11" t="s">
        <v>711</v>
      </c>
      <c r="J98" s="11" t="s">
        <v>711</v>
      </c>
      <c r="M98" t="s">
        <v>613</v>
      </c>
      <c r="N98" t="s">
        <v>614</v>
      </c>
    </row>
    <row r="99" spans="1:14" hidden="1">
      <c r="A99" t="s">
        <v>55</v>
      </c>
      <c r="B99" t="s">
        <v>209</v>
      </c>
      <c r="C99" t="s">
        <v>641</v>
      </c>
      <c r="D99" t="s">
        <v>208</v>
      </c>
      <c r="E99" s="3" t="s">
        <v>602</v>
      </c>
      <c r="F99" s="3" t="s">
        <v>712</v>
      </c>
      <c r="G99" s="3" t="s">
        <v>713</v>
      </c>
      <c r="H99" s="3"/>
      <c r="I99" s="4" t="s">
        <v>714</v>
      </c>
      <c r="J99" s="4" t="s">
        <v>714</v>
      </c>
      <c r="M99" t="s">
        <v>613</v>
      </c>
      <c r="N99" t="s">
        <v>614</v>
      </c>
    </row>
    <row r="100" spans="1:14" hidden="1">
      <c r="A100" t="s">
        <v>55</v>
      </c>
      <c r="B100" t="s">
        <v>209</v>
      </c>
      <c r="C100" t="s">
        <v>641</v>
      </c>
      <c r="D100" t="s">
        <v>325</v>
      </c>
      <c r="E100" s="3" t="s">
        <v>602</v>
      </c>
      <c r="F100" s="3" t="s">
        <v>712</v>
      </c>
      <c r="G100" t="s">
        <v>715</v>
      </c>
      <c r="M100" t="s">
        <v>613</v>
      </c>
      <c r="N100" t="s">
        <v>614</v>
      </c>
    </row>
    <row r="101" spans="1:14" hidden="1">
      <c r="A101" t="s">
        <v>55</v>
      </c>
      <c r="B101" t="s">
        <v>209</v>
      </c>
      <c r="C101" t="s">
        <v>641</v>
      </c>
      <c r="D101" t="s">
        <v>411</v>
      </c>
      <c r="E101" s="3" t="s">
        <v>602</v>
      </c>
      <c r="F101" s="3" t="s">
        <v>712</v>
      </c>
      <c r="G101" t="s">
        <v>715</v>
      </c>
      <c r="M101" t="s">
        <v>613</v>
      </c>
      <c r="N101" t="s">
        <v>614</v>
      </c>
    </row>
    <row r="102" spans="1:14" ht="57.75" hidden="1">
      <c r="A102" t="s">
        <v>55</v>
      </c>
      <c r="B102" t="s">
        <v>119</v>
      </c>
      <c r="C102" t="s">
        <v>641</v>
      </c>
      <c r="D102" t="s">
        <v>69</v>
      </c>
      <c r="E102" s="11" t="s">
        <v>716</v>
      </c>
      <c r="F102" s="11" t="s">
        <v>717</v>
      </c>
      <c r="G102" s="11" t="s">
        <v>718</v>
      </c>
      <c r="H102" s="79" t="s">
        <v>719</v>
      </c>
      <c r="I102" s="79"/>
      <c r="J102" s="11" t="s">
        <v>720</v>
      </c>
      <c r="L102" t="s">
        <v>721</v>
      </c>
      <c r="M102" t="s">
        <v>619</v>
      </c>
      <c r="N102" t="s">
        <v>630</v>
      </c>
    </row>
    <row r="103" spans="1:14" ht="101.25" hidden="1">
      <c r="A103" t="s">
        <v>55</v>
      </c>
      <c r="B103" t="s">
        <v>119</v>
      </c>
      <c r="C103" t="s">
        <v>641</v>
      </c>
      <c r="D103" t="s">
        <v>118</v>
      </c>
      <c r="E103" s="11" t="s">
        <v>722</v>
      </c>
      <c r="F103" s="11" t="s">
        <v>723</v>
      </c>
      <c r="H103" s="79" t="s">
        <v>719</v>
      </c>
      <c r="I103" s="79"/>
      <c r="J103" s="11" t="s">
        <v>724</v>
      </c>
      <c r="L103" t="s">
        <v>721</v>
      </c>
      <c r="M103" t="s">
        <v>619</v>
      </c>
      <c r="N103" t="s">
        <v>630</v>
      </c>
    </row>
    <row r="104" spans="1:14" ht="57.75" hidden="1">
      <c r="A104" t="s">
        <v>55</v>
      </c>
      <c r="B104" t="s">
        <v>119</v>
      </c>
      <c r="C104" t="s">
        <v>641</v>
      </c>
      <c r="D104" t="s">
        <v>215</v>
      </c>
      <c r="E104" s="11" t="s">
        <v>716</v>
      </c>
      <c r="F104" s="11" t="s">
        <v>725</v>
      </c>
      <c r="G104" t="s">
        <v>726</v>
      </c>
      <c r="H104" s="79" t="s">
        <v>719</v>
      </c>
      <c r="I104" s="79"/>
      <c r="J104" s="11" t="s">
        <v>727</v>
      </c>
      <c r="L104" t="s">
        <v>721</v>
      </c>
      <c r="M104" t="s">
        <v>619</v>
      </c>
      <c r="N104" t="s">
        <v>630</v>
      </c>
    </row>
    <row r="105" spans="1:14" hidden="1">
      <c r="A105" t="s">
        <v>55</v>
      </c>
      <c r="B105" t="s">
        <v>119</v>
      </c>
      <c r="C105" t="s">
        <v>641</v>
      </c>
      <c r="D105" t="s">
        <v>330</v>
      </c>
      <c r="E105" t="s">
        <v>655</v>
      </c>
      <c r="J105" t="s">
        <v>728</v>
      </c>
      <c r="N105" t="s">
        <v>630</v>
      </c>
    </row>
    <row r="106" spans="1:14" ht="57.75" hidden="1">
      <c r="A106" t="s">
        <v>55</v>
      </c>
      <c r="B106" s="10" t="s">
        <v>119</v>
      </c>
      <c r="C106" s="10" t="s">
        <v>641</v>
      </c>
      <c r="D106" s="10" t="s">
        <v>342</v>
      </c>
      <c r="E106" s="10" t="s">
        <v>615</v>
      </c>
      <c r="F106" s="10"/>
      <c r="G106" s="10"/>
      <c r="H106" s="10"/>
      <c r="I106" s="10"/>
      <c r="J106" s="13" t="s">
        <v>729</v>
      </c>
      <c r="K106" s="10"/>
      <c r="L106" s="47" t="s">
        <v>730</v>
      </c>
      <c r="M106" s="10" t="s">
        <v>619</v>
      </c>
      <c r="N106" t="s">
        <v>731</v>
      </c>
    </row>
    <row r="107" spans="1:14" ht="72.75" hidden="1">
      <c r="A107" t="s">
        <v>55</v>
      </c>
      <c r="B107" t="s">
        <v>119</v>
      </c>
      <c r="C107" t="s">
        <v>641</v>
      </c>
      <c r="D107" t="s">
        <v>506</v>
      </c>
      <c r="E107" s="11" t="s">
        <v>716</v>
      </c>
      <c r="F107" s="11" t="s">
        <v>725</v>
      </c>
      <c r="G107" t="s">
        <v>732</v>
      </c>
      <c r="H107" s="24" t="s">
        <v>719</v>
      </c>
      <c r="I107" s="24"/>
      <c r="J107" s="11" t="s">
        <v>733</v>
      </c>
      <c r="L107" t="s">
        <v>721</v>
      </c>
      <c r="M107" t="s">
        <v>619</v>
      </c>
      <c r="N107" t="s">
        <v>630</v>
      </c>
    </row>
    <row r="108" spans="1:14" ht="72.75" hidden="1">
      <c r="A108" t="s">
        <v>55</v>
      </c>
      <c r="B108" t="s">
        <v>220</v>
      </c>
      <c r="C108" t="s">
        <v>662</v>
      </c>
      <c r="D108" t="s">
        <v>45</v>
      </c>
      <c r="E108" t="s">
        <v>615</v>
      </c>
      <c r="J108" s="11" t="s">
        <v>734</v>
      </c>
      <c r="K108" s="11" t="s">
        <v>627</v>
      </c>
      <c r="L108" s="11" t="s">
        <v>735</v>
      </c>
      <c r="M108" t="s">
        <v>619</v>
      </c>
      <c r="N108" t="s">
        <v>736</v>
      </c>
    </row>
    <row r="109" spans="1:14" ht="72.75" hidden="1">
      <c r="A109" t="s">
        <v>55</v>
      </c>
      <c r="B109" t="s">
        <v>220</v>
      </c>
      <c r="C109" t="s">
        <v>662</v>
      </c>
      <c r="D109" t="s">
        <v>111</v>
      </c>
      <c r="E109" t="s">
        <v>615</v>
      </c>
      <c r="J109" s="11" t="s">
        <v>734</v>
      </c>
      <c r="K109" s="11" t="s">
        <v>627</v>
      </c>
      <c r="L109" s="11" t="s">
        <v>737</v>
      </c>
      <c r="M109" t="s">
        <v>619</v>
      </c>
      <c r="N109" t="s">
        <v>614</v>
      </c>
    </row>
    <row r="110" spans="1:14" ht="72.75" hidden="1">
      <c r="A110" t="s">
        <v>55</v>
      </c>
      <c r="B110" t="s">
        <v>220</v>
      </c>
      <c r="C110" t="s">
        <v>662</v>
      </c>
      <c r="D110" t="s">
        <v>219</v>
      </c>
      <c r="E110" t="s">
        <v>615</v>
      </c>
      <c r="J110" s="11" t="s">
        <v>734</v>
      </c>
      <c r="K110" s="11" t="s">
        <v>738</v>
      </c>
      <c r="L110" s="11" t="s">
        <v>737</v>
      </c>
      <c r="M110" t="s">
        <v>619</v>
      </c>
      <c r="N110" t="s">
        <v>614</v>
      </c>
    </row>
    <row r="111" spans="1:14" ht="72.75" hidden="1">
      <c r="A111" t="s">
        <v>55</v>
      </c>
      <c r="B111" t="s">
        <v>220</v>
      </c>
      <c r="C111" t="s">
        <v>662</v>
      </c>
      <c r="D111" t="s">
        <v>334</v>
      </c>
      <c r="E111" t="s">
        <v>615</v>
      </c>
      <c r="J111" s="11" t="s">
        <v>734</v>
      </c>
      <c r="K111" s="11" t="s">
        <v>738</v>
      </c>
      <c r="L111" s="11" t="s">
        <v>737</v>
      </c>
      <c r="M111" t="s">
        <v>619</v>
      </c>
      <c r="N111" t="s">
        <v>614</v>
      </c>
    </row>
    <row r="112" spans="1:14" ht="72.75" hidden="1">
      <c r="A112" t="s">
        <v>55</v>
      </c>
      <c r="B112" t="s">
        <v>220</v>
      </c>
      <c r="C112" t="s">
        <v>662</v>
      </c>
      <c r="D112" t="s">
        <v>414</v>
      </c>
      <c r="E112" t="s">
        <v>615</v>
      </c>
      <c r="J112" s="11" t="s">
        <v>734</v>
      </c>
      <c r="K112" s="11" t="s">
        <v>738</v>
      </c>
      <c r="L112" s="11" t="s">
        <v>737</v>
      </c>
      <c r="M112" t="s">
        <v>619</v>
      </c>
      <c r="N112" t="s">
        <v>614</v>
      </c>
    </row>
    <row r="113" spans="1:14" ht="57.75" hidden="1">
      <c r="A113" t="s">
        <v>55</v>
      </c>
      <c r="B113" t="s">
        <v>227</v>
      </c>
      <c r="C113" t="s">
        <v>662</v>
      </c>
      <c r="D113" t="s">
        <v>23</v>
      </c>
      <c r="E113" t="s">
        <v>602</v>
      </c>
      <c r="F113" t="s">
        <v>421</v>
      </c>
      <c r="G113" t="s">
        <v>739</v>
      </c>
      <c r="I113" s="11" t="s">
        <v>740</v>
      </c>
      <c r="J113" s="11" t="s">
        <v>740</v>
      </c>
      <c r="M113" t="s">
        <v>613</v>
      </c>
      <c r="N113" t="s">
        <v>614</v>
      </c>
    </row>
    <row r="114" spans="1:14" hidden="1">
      <c r="A114" t="s">
        <v>55</v>
      </c>
      <c r="B114" t="s">
        <v>227</v>
      </c>
      <c r="C114" t="s">
        <v>662</v>
      </c>
      <c r="D114" t="s">
        <v>111</v>
      </c>
      <c r="E114" t="s">
        <v>602</v>
      </c>
      <c r="F114" t="s">
        <v>71</v>
      </c>
      <c r="G114" s="3" t="s">
        <v>113</v>
      </c>
      <c r="I114" s="11" t="s">
        <v>741</v>
      </c>
      <c r="J114" s="11" t="s">
        <v>741</v>
      </c>
      <c r="M114" t="s">
        <v>613</v>
      </c>
      <c r="N114" t="s">
        <v>614</v>
      </c>
    </row>
    <row r="115" spans="1:14" hidden="1">
      <c r="A115" t="s">
        <v>55</v>
      </c>
      <c r="B115" t="s">
        <v>227</v>
      </c>
      <c r="C115" t="s">
        <v>662</v>
      </c>
      <c r="D115" t="s">
        <v>226</v>
      </c>
      <c r="E115" t="s">
        <v>602</v>
      </c>
      <c r="F115" t="s">
        <v>421</v>
      </c>
      <c r="G115" t="s">
        <v>742</v>
      </c>
      <c r="I115" s="4" t="s">
        <v>743</v>
      </c>
      <c r="J115" s="4" t="s">
        <v>743</v>
      </c>
      <c r="M115" t="s">
        <v>613</v>
      </c>
      <c r="N115" t="s">
        <v>614</v>
      </c>
    </row>
    <row r="116" spans="1:14" hidden="1">
      <c r="A116" t="s">
        <v>55</v>
      </c>
      <c r="B116" t="s">
        <v>227</v>
      </c>
      <c r="C116" t="s">
        <v>662</v>
      </c>
      <c r="D116" t="s">
        <v>336</v>
      </c>
      <c r="E116" t="s">
        <v>602</v>
      </c>
      <c r="F116" t="s">
        <v>421</v>
      </c>
      <c r="I116" t="s">
        <v>744</v>
      </c>
      <c r="J116" t="s">
        <v>744</v>
      </c>
      <c r="M116" t="s">
        <v>613</v>
      </c>
      <c r="N116" t="s">
        <v>614</v>
      </c>
    </row>
    <row r="117" spans="1:14" ht="29.25" hidden="1">
      <c r="A117" t="s">
        <v>55</v>
      </c>
      <c r="B117" s="10" t="s">
        <v>338</v>
      </c>
      <c r="C117" s="10" t="s">
        <v>662</v>
      </c>
      <c r="D117" s="10" t="s">
        <v>23</v>
      </c>
      <c r="E117" s="10" t="s">
        <v>615</v>
      </c>
      <c r="F117" s="10"/>
      <c r="G117" s="10"/>
      <c r="H117" s="10"/>
      <c r="I117" s="10"/>
      <c r="J117" s="13" t="s">
        <v>745</v>
      </c>
      <c r="K117" s="10"/>
      <c r="L117" s="13" t="s">
        <v>746</v>
      </c>
      <c r="M117" s="10" t="s">
        <v>619</v>
      </c>
      <c r="N117" t="s">
        <v>604</v>
      </c>
    </row>
    <row r="118" spans="1:14" hidden="1">
      <c r="A118" t="s">
        <v>55</v>
      </c>
      <c r="B118" t="s">
        <v>338</v>
      </c>
      <c r="C118" t="s">
        <v>662</v>
      </c>
      <c r="D118" t="s">
        <v>34</v>
      </c>
      <c r="E118" t="s">
        <v>602</v>
      </c>
      <c r="F118" t="s">
        <v>36</v>
      </c>
      <c r="G118" t="s">
        <v>34</v>
      </c>
      <c r="N118" t="s">
        <v>604</v>
      </c>
    </row>
    <row r="119" spans="1:14" ht="29.25" hidden="1">
      <c r="A119" t="s">
        <v>55</v>
      </c>
      <c r="B119" t="s">
        <v>338</v>
      </c>
      <c r="C119" t="s">
        <v>662</v>
      </c>
      <c r="D119" t="s">
        <v>104</v>
      </c>
      <c r="E119" t="s">
        <v>602</v>
      </c>
      <c r="F119" t="s">
        <v>36</v>
      </c>
      <c r="G119" s="11" t="s">
        <v>671</v>
      </c>
      <c r="J119" t="s">
        <v>672</v>
      </c>
      <c r="N119" t="s">
        <v>604</v>
      </c>
    </row>
    <row r="120" spans="1:14" ht="144.75" hidden="1">
      <c r="A120" t="s">
        <v>55</v>
      </c>
      <c r="B120" s="10" t="s">
        <v>338</v>
      </c>
      <c r="C120" s="10" t="s">
        <v>662</v>
      </c>
      <c r="D120" s="10" t="s">
        <v>337</v>
      </c>
      <c r="E120" s="10" t="s">
        <v>615</v>
      </c>
      <c r="F120" s="10"/>
      <c r="G120" s="10"/>
      <c r="H120" s="10"/>
      <c r="I120" s="10"/>
      <c r="J120" s="13" t="s">
        <v>747</v>
      </c>
      <c r="K120" s="10"/>
      <c r="L120" s="13" t="s">
        <v>746</v>
      </c>
      <c r="M120" s="10" t="s">
        <v>619</v>
      </c>
      <c r="N120" t="s">
        <v>604</v>
      </c>
    </row>
    <row r="121" spans="1:14" ht="57.75" hidden="1">
      <c r="A121" t="s">
        <v>55</v>
      </c>
      <c r="B121" t="s">
        <v>338</v>
      </c>
      <c r="C121" t="s">
        <v>662</v>
      </c>
      <c r="D121" t="s">
        <v>417</v>
      </c>
      <c r="E121" t="s">
        <v>673</v>
      </c>
      <c r="J121" s="11" t="s">
        <v>748</v>
      </c>
      <c r="K121" s="46" t="s">
        <v>674</v>
      </c>
      <c r="L121" s="11" t="s">
        <v>675</v>
      </c>
      <c r="M121" t="s">
        <v>619</v>
      </c>
      <c r="N121" t="s">
        <v>604</v>
      </c>
    </row>
    <row r="122" spans="1:14" ht="29.25" hidden="1">
      <c r="A122" t="s">
        <v>55</v>
      </c>
      <c r="B122" t="s">
        <v>338</v>
      </c>
      <c r="C122" t="s">
        <v>662</v>
      </c>
      <c r="D122" t="s">
        <v>510</v>
      </c>
      <c r="E122" t="s">
        <v>615</v>
      </c>
      <c r="F122" t="s">
        <v>36</v>
      </c>
      <c r="G122" s="11" t="s">
        <v>671</v>
      </c>
      <c r="J122" t="s">
        <v>672</v>
      </c>
      <c r="M122" t="s">
        <v>619</v>
      </c>
      <c r="N122" t="s">
        <v>604</v>
      </c>
    </row>
    <row r="123" spans="1:14" ht="29.25" hidden="1">
      <c r="A123" t="s">
        <v>55</v>
      </c>
      <c r="B123" t="s">
        <v>338</v>
      </c>
      <c r="C123" t="s">
        <v>662</v>
      </c>
      <c r="D123" t="s">
        <v>555</v>
      </c>
      <c r="E123" t="s">
        <v>615</v>
      </c>
      <c r="F123" t="s">
        <v>36</v>
      </c>
      <c r="G123" s="11" t="s">
        <v>671</v>
      </c>
      <c r="J123" t="s">
        <v>672</v>
      </c>
      <c r="M123" t="s">
        <v>619</v>
      </c>
      <c r="N123" t="s">
        <v>604</v>
      </c>
    </row>
    <row r="124" spans="1:14" hidden="1">
      <c r="A124" t="s">
        <v>55</v>
      </c>
      <c r="B124" t="s">
        <v>124</v>
      </c>
      <c r="C124" t="s">
        <v>662</v>
      </c>
      <c r="D124" t="s">
        <v>23</v>
      </c>
      <c r="E124" t="s">
        <v>655</v>
      </c>
      <c r="J124" t="s">
        <v>9</v>
      </c>
      <c r="N124" t="s">
        <v>685</v>
      </c>
    </row>
    <row r="125" spans="1:14" hidden="1">
      <c r="A125" t="s">
        <v>55</v>
      </c>
      <c r="B125" t="s">
        <v>124</v>
      </c>
      <c r="C125" t="s">
        <v>662</v>
      </c>
      <c r="D125" t="s">
        <v>123</v>
      </c>
      <c r="E125" t="s">
        <v>655</v>
      </c>
      <c r="J125" t="s">
        <v>9</v>
      </c>
      <c r="N125" t="s">
        <v>685</v>
      </c>
    </row>
    <row r="126" spans="1:14" hidden="1">
      <c r="A126" t="s">
        <v>55</v>
      </c>
      <c r="B126" t="s">
        <v>124</v>
      </c>
      <c r="C126" t="s">
        <v>662</v>
      </c>
      <c r="D126" t="s">
        <v>111</v>
      </c>
      <c r="E126" t="s">
        <v>655</v>
      </c>
      <c r="J126" t="s">
        <v>9</v>
      </c>
      <c r="N126" t="s">
        <v>685</v>
      </c>
    </row>
    <row r="127" spans="1:14" hidden="1">
      <c r="A127" t="s">
        <v>55</v>
      </c>
      <c r="B127" t="s">
        <v>124</v>
      </c>
      <c r="C127" t="s">
        <v>662</v>
      </c>
      <c r="D127" t="s">
        <v>341</v>
      </c>
      <c r="E127" t="s">
        <v>655</v>
      </c>
      <c r="J127" t="s">
        <v>9</v>
      </c>
      <c r="N127" t="s">
        <v>685</v>
      </c>
    </row>
    <row r="128" spans="1:14" hidden="1">
      <c r="A128" t="s">
        <v>55</v>
      </c>
      <c r="B128" t="s">
        <v>124</v>
      </c>
      <c r="C128" t="s">
        <v>662</v>
      </c>
      <c r="D128" t="s">
        <v>420</v>
      </c>
      <c r="E128" t="s">
        <v>655</v>
      </c>
      <c r="J128" t="s">
        <v>9</v>
      </c>
      <c r="N128" t="s">
        <v>685</v>
      </c>
    </row>
    <row r="129" spans="1:14" hidden="1">
      <c r="A129" t="s">
        <v>55</v>
      </c>
      <c r="B129" t="s">
        <v>124</v>
      </c>
      <c r="C129" t="s">
        <v>662</v>
      </c>
      <c r="D129" t="s">
        <v>515</v>
      </c>
      <c r="E129" t="s">
        <v>655</v>
      </c>
      <c r="J129" t="s">
        <v>9</v>
      </c>
      <c r="N129" t="s">
        <v>685</v>
      </c>
    </row>
    <row r="130" spans="1:14" hidden="1">
      <c r="A130" t="s">
        <v>81</v>
      </c>
      <c r="B130" t="s">
        <v>233</v>
      </c>
      <c r="C130" t="s">
        <v>601</v>
      </c>
      <c r="D130" t="s">
        <v>23</v>
      </c>
      <c r="E130" t="s">
        <v>685</v>
      </c>
      <c r="J130" t="s">
        <v>749</v>
      </c>
      <c r="N130" t="s">
        <v>685</v>
      </c>
    </row>
    <row r="131" spans="1:14" hidden="1">
      <c r="A131" t="s">
        <v>81</v>
      </c>
      <c r="B131" t="s">
        <v>233</v>
      </c>
      <c r="C131" t="s">
        <v>601</v>
      </c>
      <c r="D131" t="s">
        <v>30</v>
      </c>
      <c r="E131" t="s">
        <v>685</v>
      </c>
      <c r="J131" t="s">
        <v>749</v>
      </c>
      <c r="N131" t="s">
        <v>685</v>
      </c>
    </row>
    <row r="132" spans="1:14" hidden="1">
      <c r="A132" t="s">
        <v>81</v>
      </c>
      <c r="B132" t="s">
        <v>233</v>
      </c>
      <c r="C132" t="s">
        <v>601</v>
      </c>
      <c r="D132" t="s">
        <v>232</v>
      </c>
      <c r="E132" t="s">
        <v>685</v>
      </c>
      <c r="J132" t="s">
        <v>749</v>
      </c>
      <c r="N132" t="s">
        <v>685</v>
      </c>
    </row>
    <row r="133" spans="1:14" hidden="1">
      <c r="A133" t="s">
        <v>81</v>
      </c>
      <c r="B133" t="s">
        <v>233</v>
      </c>
      <c r="C133" t="s">
        <v>601</v>
      </c>
      <c r="D133" t="s">
        <v>111</v>
      </c>
      <c r="E133" t="s">
        <v>685</v>
      </c>
      <c r="J133" t="s">
        <v>749</v>
      </c>
      <c r="N133" t="s">
        <v>685</v>
      </c>
    </row>
    <row r="134" spans="1:14" hidden="1">
      <c r="A134" t="s">
        <v>81</v>
      </c>
      <c r="B134" t="s">
        <v>233</v>
      </c>
      <c r="C134" t="s">
        <v>601</v>
      </c>
      <c r="D134" t="s">
        <v>45</v>
      </c>
      <c r="E134" t="s">
        <v>685</v>
      </c>
      <c r="J134" t="s">
        <v>749</v>
      </c>
      <c r="N134" t="s">
        <v>685</v>
      </c>
    </row>
    <row r="135" spans="1:14" hidden="1">
      <c r="A135" t="s">
        <v>81</v>
      </c>
      <c r="B135" t="s">
        <v>233</v>
      </c>
      <c r="C135" t="s">
        <v>601</v>
      </c>
      <c r="D135" t="s">
        <v>518</v>
      </c>
      <c r="E135" t="s">
        <v>685</v>
      </c>
      <c r="J135" t="s">
        <v>749</v>
      </c>
      <c r="N135" t="s">
        <v>685</v>
      </c>
    </row>
    <row r="136" spans="1:14" hidden="1">
      <c r="A136" t="s">
        <v>81</v>
      </c>
      <c r="B136" t="s">
        <v>233</v>
      </c>
      <c r="C136" t="s">
        <v>601</v>
      </c>
      <c r="D136" t="s">
        <v>396</v>
      </c>
      <c r="E136" t="s">
        <v>685</v>
      </c>
      <c r="J136" t="s">
        <v>749</v>
      </c>
      <c r="N136" t="s">
        <v>685</v>
      </c>
    </row>
    <row r="137" spans="1:14" hidden="1">
      <c r="A137" t="s">
        <v>81</v>
      </c>
      <c r="B137" t="s">
        <v>427</v>
      </c>
      <c r="C137" t="s">
        <v>601</v>
      </c>
      <c r="D137" t="s">
        <v>23</v>
      </c>
      <c r="E137" t="s">
        <v>602</v>
      </c>
      <c r="F137" s="3" t="s">
        <v>750</v>
      </c>
      <c r="G137" s="3" t="s">
        <v>27</v>
      </c>
      <c r="H137" s="3"/>
      <c r="I137" s="3"/>
      <c r="J137" s="4"/>
      <c r="M137" t="s">
        <v>613</v>
      </c>
      <c r="N137" t="s">
        <v>604</v>
      </c>
    </row>
    <row r="138" spans="1:14" hidden="1">
      <c r="A138" t="s">
        <v>81</v>
      </c>
      <c r="B138" t="s">
        <v>427</v>
      </c>
      <c r="C138" t="s">
        <v>601</v>
      </c>
      <c r="D138" t="s">
        <v>69</v>
      </c>
      <c r="E138" t="s">
        <v>602</v>
      </c>
      <c r="F138" s="55" t="s">
        <v>750</v>
      </c>
      <c r="G138" t="s">
        <v>72</v>
      </c>
      <c r="M138" t="s">
        <v>613</v>
      </c>
      <c r="N138" t="s">
        <v>604</v>
      </c>
    </row>
    <row r="139" spans="1:14" hidden="1">
      <c r="A139" t="s">
        <v>81</v>
      </c>
      <c r="B139" t="s">
        <v>427</v>
      </c>
      <c r="C139" t="s">
        <v>601</v>
      </c>
      <c r="D139" t="s">
        <v>140</v>
      </c>
      <c r="E139" t="s">
        <v>602</v>
      </c>
      <c r="F139" t="s">
        <v>195</v>
      </c>
      <c r="G139" s="11" t="s">
        <v>359</v>
      </c>
      <c r="H139" s="11"/>
      <c r="I139" s="11" t="s">
        <v>751</v>
      </c>
      <c r="J139" s="11"/>
      <c r="L139" t="s">
        <v>752</v>
      </c>
      <c r="M139" t="s">
        <v>613</v>
      </c>
      <c r="N139" t="s">
        <v>604</v>
      </c>
    </row>
    <row r="140" spans="1:14" hidden="1">
      <c r="A140" t="s">
        <v>81</v>
      </c>
      <c r="B140" t="s">
        <v>427</v>
      </c>
      <c r="C140" t="s">
        <v>601</v>
      </c>
      <c r="D140" t="s">
        <v>193</v>
      </c>
      <c r="E140" t="s">
        <v>602</v>
      </c>
      <c r="F140" t="s">
        <v>195</v>
      </c>
      <c r="G140" t="s">
        <v>196</v>
      </c>
      <c r="J140" t="s">
        <v>197</v>
      </c>
      <c r="M140" t="s">
        <v>613</v>
      </c>
      <c r="N140" t="s">
        <v>604</v>
      </c>
    </row>
    <row r="141" spans="1:14" ht="29.25" hidden="1">
      <c r="A141" t="s">
        <v>81</v>
      </c>
      <c r="B141" t="s">
        <v>427</v>
      </c>
      <c r="C141" t="s">
        <v>601</v>
      </c>
      <c r="D141" t="s">
        <v>426</v>
      </c>
      <c r="E141" t="s">
        <v>673</v>
      </c>
      <c r="J141" t="s">
        <v>471</v>
      </c>
      <c r="K141" s="11" t="s">
        <v>753</v>
      </c>
      <c r="L141" t="s">
        <v>754</v>
      </c>
      <c r="M141" t="s">
        <v>613</v>
      </c>
      <c r="N141" t="s">
        <v>604</v>
      </c>
    </row>
    <row r="142" spans="1:14" hidden="1">
      <c r="A142" t="s">
        <v>81</v>
      </c>
      <c r="B142" t="s">
        <v>427</v>
      </c>
      <c r="C142" t="s">
        <v>601</v>
      </c>
      <c r="D142" t="s">
        <v>520</v>
      </c>
      <c r="E142" t="s">
        <v>655</v>
      </c>
      <c r="J142" t="s">
        <v>755</v>
      </c>
      <c r="K142" t="s">
        <v>756</v>
      </c>
      <c r="L142" t="s">
        <v>757</v>
      </c>
      <c r="M142" t="s">
        <v>613</v>
      </c>
      <c r="N142" t="s">
        <v>604</v>
      </c>
    </row>
    <row r="143" spans="1:14" ht="57.75" hidden="1">
      <c r="A143" t="s">
        <v>81</v>
      </c>
      <c r="B143" t="s">
        <v>128</v>
      </c>
      <c r="C143" t="s">
        <v>601</v>
      </c>
      <c r="D143" t="s">
        <v>23</v>
      </c>
      <c r="E143" t="s">
        <v>602</v>
      </c>
      <c r="F143" s="3" t="s">
        <v>26</v>
      </c>
      <c r="G143" s="3" t="s">
        <v>27</v>
      </c>
      <c r="H143" s="3"/>
      <c r="I143" s="3"/>
      <c r="J143" s="4" t="s">
        <v>28</v>
      </c>
      <c r="N143" t="s">
        <v>604</v>
      </c>
    </row>
    <row r="144" spans="1:14" hidden="1">
      <c r="A144" t="s">
        <v>81</v>
      </c>
      <c r="B144" t="s">
        <v>128</v>
      </c>
      <c r="C144" t="s">
        <v>601</v>
      </c>
      <c r="D144" t="s">
        <v>127</v>
      </c>
      <c r="E144" t="s">
        <v>602</v>
      </c>
      <c r="F144" t="s">
        <v>26</v>
      </c>
      <c r="G144" t="s">
        <v>129</v>
      </c>
      <c r="N144" t="s">
        <v>604</v>
      </c>
    </row>
    <row r="145" spans="1:14" hidden="1">
      <c r="A145" t="s">
        <v>81</v>
      </c>
      <c r="B145" t="s">
        <v>128</v>
      </c>
      <c r="C145" t="s">
        <v>601</v>
      </c>
      <c r="D145" t="s">
        <v>234</v>
      </c>
      <c r="E145" t="s">
        <v>602</v>
      </c>
      <c r="F145" t="s">
        <v>26</v>
      </c>
      <c r="G145" t="s">
        <v>234</v>
      </c>
      <c r="N145" t="s">
        <v>604</v>
      </c>
    </row>
    <row r="146" spans="1:14" ht="29.25" hidden="1">
      <c r="A146" t="s">
        <v>81</v>
      </c>
      <c r="B146" t="s">
        <v>128</v>
      </c>
      <c r="C146" t="s">
        <v>601</v>
      </c>
      <c r="D146" t="s">
        <v>342</v>
      </c>
      <c r="E146" t="s">
        <v>602</v>
      </c>
      <c r="F146" t="s">
        <v>26</v>
      </c>
      <c r="G146" s="11" t="s">
        <v>758</v>
      </c>
      <c r="H146" s="11"/>
      <c r="I146" s="11"/>
      <c r="N146" t="s">
        <v>604</v>
      </c>
    </row>
    <row r="147" spans="1:14" ht="101.25" hidden="1">
      <c r="A147" t="s">
        <v>81</v>
      </c>
      <c r="B147" s="10" t="s">
        <v>128</v>
      </c>
      <c r="C147" s="10" t="s">
        <v>601</v>
      </c>
      <c r="D147" s="10" t="s">
        <v>759</v>
      </c>
      <c r="E147" s="10" t="s">
        <v>615</v>
      </c>
      <c r="F147" s="10"/>
      <c r="G147" s="10"/>
      <c r="H147" s="10"/>
      <c r="I147" s="10"/>
      <c r="J147" s="13" t="s">
        <v>760</v>
      </c>
      <c r="K147" s="10"/>
      <c r="L147" s="47" t="s">
        <v>730</v>
      </c>
      <c r="M147" s="10" t="s">
        <v>619</v>
      </c>
      <c r="N147" t="s">
        <v>604</v>
      </c>
    </row>
    <row r="148" spans="1:14" ht="101.25" hidden="1">
      <c r="A148" t="s">
        <v>81</v>
      </c>
      <c r="B148" s="10" t="s">
        <v>128</v>
      </c>
      <c r="C148" s="10" t="s">
        <v>601</v>
      </c>
      <c r="D148" s="10" t="s">
        <v>761</v>
      </c>
      <c r="E148" s="10" t="s">
        <v>615</v>
      </c>
      <c r="F148" s="10"/>
      <c r="G148" s="10"/>
      <c r="H148" s="10"/>
      <c r="I148" s="10"/>
      <c r="J148" s="13" t="s">
        <v>760</v>
      </c>
      <c r="K148" s="10"/>
      <c r="L148" s="47" t="s">
        <v>730</v>
      </c>
      <c r="M148" s="10" t="s">
        <v>619</v>
      </c>
      <c r="N148" t="s">
        <v>604</v>
      </c>
    </row>
    <row r="149" spans="1:14" ht="101.25" hidden="1">
      <c r="A149" t="s">
        <v>81</v>
      </c>
      <c r="B149" s="10" t="s">
        <v>128</v>
      </c>
      <c r="C149" s="10" t="s">
        <v>601</v>
      </c>
      <c r="D149" s="10" t="s">
        <v>762</v>
      </c>
      <c r="E149" s="10" t="s">
        <v>615</v>
      </c>
      <c r="F149" s="10"/>
      <c r="G149" s="10"/>
      <c r="H149" s="10"/>
      <c r="I149" s="10"/>
      <c r="J149" s="13" t="s">
        <v>760</v>
      </c>
      <c r="K149" s="10"/>
      <c r="L149" s="47" t="s">
        <v>730</v>
      </c>
      <c r="M149" s="10" t="s">
        <v>619</v>
      </c>
      <c r="N149" t="s">
        <v>604</v>
      </c>
    </row>
    <row r="150" spans="1:14" ht="101.25" hidden="1">
      <c r="A150" t="s">
        <v>81</v>
      </c>
      <c r="B150" s="10" t="s">
        <v>128</v>
      </c>
      <c r="C150" s="10" t="s">
        <v>601</v>
      </c>
      <c r="D150" s="10" t="s">
        <v>763</v>
      </c>
      <c r="E150" s="10" t="s">
        <v>615</v>
      </c>
      <c r="F150" s="10"/>
      <c r="G150" s="10"/>
      <c r="H150" s="10"/>
      <c r="I150" s="10"/>
      <c r="J150" s="13" t="s">
        <v>760</v>
      </c>
      <c r="K150" s="10"/>
      <c r="L150" s="47" t="s">
        <v>730</v>
      </c>
      <c r="M150" s="10" t="s">
        <v>619</v>
      </c>
      <c r="N150" t="s">
        <v>604</v>
      </c>
    </row>
    <row r="151" spans="1:14" ht="72.75" hidden="1">
      <c r="A151" t="s">
        <v>81</v>
      </c>
      <c r="B151" t="s">
        <v>236</v>
      </c>
      <c r="C151" t="s">
        <v>601</v>
      </c>
      <c r="D151" t="s">
        <v>30</v>
      </c>
      <c r="E151" t="s">
        <v>602</v>
      </c>
      <c r="F151" s="3" t="s">
        <v>26</v>
      </c>
      <c r="G151" s="3" t="s">
        <v>27</v>
      </c>
      <c r="H151" s="3"/>
      <c r="I151" s="3"/>
      <c r="J151" s="4" t="s">
        <v>764</v>
      </c>
      <c r="N151" t="s">
        <v>604</v>
      </c>
    </row>
    <row r="152" spans="1:14" ht="57.75" hidden="1">
      <c r="A152" t="s">
        <v>81</v>
      </c>
      <c r="B152" t="s">
        <v>236</v>
      </c>
      <c r="C152" t="s">
        <v>601</v>
      </c>
      <c r="D152" t="s">
        <v>23</v>
      </c>
      <c r="E152" t="s">
        <v>602</v>
      </c>
      <c r="F152" s="3" t="s">
        <v>26</v>
      </c>
      <c r="G152" s="3" t="s">
        <v>27</v>
      </c>
      <c r="H152" s="3"/>
      <c r="I152" s="3"/>
      <c r="J152" s="4" t="s">
        <v>28</v>
      </c>
      <c r="N152" t="s">
        <v>604</v>
      </c>
    </row>
    <row r="153" spans="1:14" ht="29.25" hidden="1">
      <c r="A153" t="s">
        <v>81</v>
      </c>
      <c r="B153" s="10" t="s">
        <v>236</v>
      </c>
      <c r="C153" s="10" t="s">
        <v>601</v>
      </c>
      <c r="D153" s="10" t="s">
        <v>235</v>
      </c>
      <c r="E153" s="10" t="s">
        <v>615</v>
      </c>
      <c r="F153" s="13"/>
      <c r="G153" s="10"/>
      <c r="H153" s="10"/>
      <c r="I153" s="10"/>
      <c r="J153" s="10" t="s">
        <v>765</v>
      </c>
      <c r="K153" s="10"/>
      <c r="L153" s="47" t="s">
        <v>730</v>
      </c>
      <c r="M153" s="10" t="s">
        <v>619</v>
      </c>
      <c r="N153" t="s">
        <v>604</v>
      </c>
    </row>
    <row r="154" spans="1:14" ht="29.25" hidden="1">
      <c r="A154" t="s">
        <v>81</v>
      </c>
      <c r="B154" s="10" t="s">
        <v>236</v>
      </c>
      <c r="C154" s="10" t="s">
        <v>601</v>
      </c>
      <c r="D154" s="10" t="s">
        <v>346</v>
      </c>
      <c r="E154" s="10" t="s">
        <v>615</v>
      </c>
      <c r="F154" s="10"/>
      <c r="G154" s="10"/>
      <c r="H154" s="10"/>
      <c r="I154" s="10"/>
      <c r="J154" s="13" t="s">
        <v>766</v>
      </c>
      <c r="K154" s="10"/>
      <c r="L154" s="47" t="s">
        <v>730</v>
      </c>
      <c r="M154" s="10" t="s">
        <v>619</v>
      </c>
      <c r="N154" t="s">
        <v>604</v>
      </c>
    </row>
    <row r="155" spans="1:14" ht="57.75" hidden="1">
      <c r="A155" t="s">
        <v>81</v>
      </c>
      <c r="B155" t="s">
        <v>236</v>
      </c>
      <c r="C155" t="s">
        <v>601</v>
      </c>
      <c r="D155" t="s">
        <v>276</v>
      </c>
      <c r="E155" t="s">
        <v>602</v>
      </c>
      <c r="F155" s="11" t="s">
        <v>279</v>
      </c>
      <c r="G155" s="11" t="s">
        <v>767</v>
      </c>
      <c r="H155" s="11"/>
      <c r="I155" s="11"/>
      <c r="N155" t="s">
        <v>604</v>
      </c>
    </row>
    <row r="156" spans="1:14" ht="29.25" hidden="1">
      <c r="A156" t="s">
        <v>81</v>
      </c>
      <c r="B156" s="10" t="s">
        <v>236</v>
      </c>
      <c r="C156" s="10" t="s">
        <v>601</v>
      </c>
      <c r="D156" s="10" t="s">
        <v>524</v>
      </c>
      <c r="E156" s="10" t="s">
        <v>615</v>
      </c>
      <c r="F156" s="10"/>
      <c r="G156" s="10"/>
      <c r="H156" s="10"/>
      <c r="I156" s="10"/>
      <c r="J156" s="13" t="s">
        <v>766</v>
      </c>
      <c r="K156" s="10"/>
      <c r="L156" s="47" t="s">
        <v>730</v>
      </c>
      <c r="M156" s="10" t="s">
        <v>619</v>
      </c>
      <c r="N156" t="s">
        <v>604</v>
      </c>
    </row>
    <row r="157" spans="1:14" ht="57.75" hidden="1">
      <c r="A157" t="s">
        <v>81</v>
      </c>
      <c r="B157" t="s">
        <v>434</v>
      </c>
      <c r="C157" t="s">
        <v>601</v>
      </c>
      <c r="D157" t="s">
        <v>30</v>
      </c>
      <c r="E157" t="s">
        <v>602</v>
      </c>
      <c r="F157" s="3" t="s">
        <v>26</v>
      </c>
      <c r="G157" s="3" t="s">
        <v>27</v>
      </c>
      <c r="H157" s="3"/>
      <c r="I157" s="3"/>
      <c r="J157" s="4" t="s">
        <v>764</v>
      </c>
      <c r="N157" t="s">
        <v>604</v>
      </c>
    </row>
    <row r="158" spans="1:14" ht="29.25" hidden="1">
      <c r="A158" t="s">
        <v>81</v>
      </c>
      <c r="B158" t="s">
        <v>434</v>
      </c>
      <c r="C158" t="s">
        <v>601</v>
      </c>
      <c r="D158" t="s">
        <v>130</v>
      </c>
      <c r="E158" t="s">
        <v>602</v>
      </c>
      <c r="F158" t="s">
        <v>132</v>
      </c>
      <c r="G158" t="s">
        <v>133</v>
      </c>
      <c r="J158" s="81" t="s">
        <v>768</v>
      </c>
      <c r="N158" t="s">
        <v>604</v>
      </c>
    </row>
    <row r="159" spans="1:14" hidden="1">
      <c r="A159" t="s">
        <v>81</v>
      </c>
      <c r="B159" t="s">
        <v>434</v>
      </c>
      <c r="C159" t="s">
        <v>601</v>
      </c>
      <c r="D159" t="s">
        <v>69</v>
      </c>
      <c r="E159" t="s">
        <v>602</v>
      </c>
      <c r="F159" t="s">
        <v>71</v>
      </c>
      <c r="G159" t="s">
        <v>72</v>
      </c>
      <c r="N159" t="s">
        <v>604</v>
      </c>
    </row>
    <row r="160" spans="1:14" hidden="1">
      <c r="A160" t="s">
        <v>81</v>
      </c>
      <c r="B160" s="10" t="s">
        <v>434</v>
      </c>
      <c r="C160" s="10" t="s">
        <v>601</v>
      </c>
      <c r="D160" s="10" t="s">
        <v>140</v>
      </c>
      <c r="E160" s="10" t="s">
        <v>615</v>
      </c>
      <c r="F160" s="13"/>
      <c r="G160" s="13"/>
      <c r="H160" s="13"/>
      <c r="I160" s="13"/>
      <c r="J160" s="13"/>
      <c r="K160" s="10"/>
      <c r="L160" s="93" t="s">
        <v>769</v>
      </c>
      <c r="M160" s="10" t="s">
        <v>619</v>
      </c>
      <c r="N160" t="s">
        <v>604</v>
      </c>
    </row>
    <row r="161" spans="1:14" ht="29.25" hidden="1">
      <c r="A161" t="s">
        <v>81</v>
      </c>
      <c r="B161" s="10" t="s">
        <v>434</v>
      </c>
      <c r="C161" s="10" t="s">
        <v>601</v>
      </c>
      <c r="D161" s="10" t="s">
        <v>433</v>
      </c>
      <c r="E161" s="10" t="s">
        <v>615</v>
      </c>
      <c r="F161" s="10"/>
      <c r="G161" s="10"/>
      <c r="H161" s="10"/>
      <c r="I161" s="10"/>
      <c r="J161" s="13" t="s">
        <v>770</v>
      </c>
      <c r="K161" s="10"/>
      <c r="L161" s="93" t="s">
        <v>769</v>
      </c>
      <c r="M161" s="10" t="s">
        <v>619</v>
      </c>
      <c r="N161" t="s">
        <v>604</v>
      </c>
    </row>
    <row r="162" spans="1:14" ht="29.25" hidden="1">
      <c r="A162" t="s">
        <v>81</v>
      </c>
      <c r="B162" s="10" t="s">
        <v>434</v>
      </c>
      <c r="C162" s="10" t="s">
        <v>601</v>
      </c>
      <c r="D162" s="10" t="s">
        <v>148</v>
      </c>
      <c r="E162" s="10" t="s">
        <v>615</v>
      </c>
      <c r="F162" s="13" t="s">
        <v>150</v>
      </c>
      <c r="G162" s="13" t="s">
        <v>151</v>
      </c>
      <c r="H162" s="13"/>
      <c r="I162" s="13"/>
      <c r="J162" s="10"/>
      <c r="K162" s="10"/>
      <c r="L162" s="93" t="s">
        <v>769</v>
      </c>
      <c r="M162" s="10" t="s">
        <v>619</v>
      </c>
      <c r="N162" t="s">
        <v>604</v>
      </c>
    </row>
    <row r="163" spans="1:14" ht="72.75" hidden="1">
      <c r="A163" t="s">
        <v>81</v>
      </c>
      <c r="B163" t="s">
        <v>434</v>
      </c>
      <c r="C163" t="s">
        <v>601</v>
      </c>
      <c r="D163" t="s">
        <v>45</v>
      </c>
      <c r="E163" t="s">
        <v>615</v>
      </c>
      <c r="F163" s="11"/>
      <c r="J163" t="s">
        <v>626</v>
      </c>
      <c r="K163" t="s">
        <v>627</v>
      </c>
      <c r="L163" s="11" t="s">
        <v>735</v>
      </c>
      <c r="M163" t="s">
        <v>619</v>
      </c>
      <c r="N163" t="s">
        <v>604</v>
      </c>
    </row>
    <row r="164" spans="1:14" ht="43.5" hidden="1">
      <c r="A164" t="s">
        <v>81</v>
      </c>
      <c r="B164" t="s">
        <v>137</v>
      </c>
      <c r="C164" t="s">
        <v>601</v>
      </c>
      <c r="D164" t="s">
        <v>23</v>
      </c>
      <c r="E164" t="s">
        <v>602</v>
      </c>
      <c r="F164" s="3" t="s">
        <v>26</v>
      </c>
      <c r="G164" s="3" t="s">
        <v>27</v>
      </c>
      <c r="H164" s="3"/>
      <c r="I164" s="3"/>
      <c r="J164" s="4" t="s">
        <v>28</v>
      </c>
      <c r="N164" t="s">
        <v>604</v>
      </c>
    </row>
    <row r="165" spans="1:14" ht="43.5" hidden="1">
      <c r="A165" t="s">
        <v>81</v>
      </c>
      <c r="B165" t="s">
        <v>137</v>
      </c>
      <c r="C165" t="s">
        <v>601</v>
      </c>
      <c r="D165" t="s">
        <v>136</v>
      </c>
      <c r="E165" t="s">
        <v>602</v>
      </c>
      <c r="F165" s="11" t="s">
        <v>771</v>
      </c>
      <c r="G165" s="11" t="s">
        <v>772</v>
      </c>
      <c r="H165" s="11"/>
      <c r="I165" s="11"/>
      <c r="J165" t="s">
        <v>773</v>
      </c>
      <c r="L165" s="11" t="s">
        <v>774</v>
      </c>
      <c r="N165" t="s">
        <v>604</v>
      </c>
    </row>
    <row r="166" spans="1:14" ht="29.25" hidden="1">
      <c r="A166" t="s">
        <v>81</v>
      </c>
      <c r="B166" t="s">
        <v>137</v>
      </c>
      <c r="C166" t="s">
        <v>601</v>
      </c>
      <c r="D166" t="s">
        <v>241</v>
      </c>
      <c r="E166" t="s">
        <v>673</v>
      </c>
      <c r="J166" t="s">
        <v>775</v>
      </c>
      <c r="K166" s="11" t="s">
        <v>738</v>
      </c>
      <c r="L166" s="11" t="s">
        <v>776</v>
      </c>
      <c r="M166" t="s">
        <v>613</v>
      </c>
      <c r="N166" t="s">
        <v>604</v>
      </c>
    </row>
    <row r="167" spans="1:14" ht="29.25" hidden="1">
      <c r="A167" t="s">
        <v>81</v>
      </c>
      <c r="B167" t="s">
        <v>137</v>
      </c>
      <c r="C167" t="s">
        <v>601</v>
      </c>
      <c r="D167" t="s">
        <v>348</v>
      </c>
      <c r="E167" t="s">
        <v>673</v>
      </c>
      <c r="J167" t="s">
        <v>775</v>
      </c>
      <c r="K167" s="11" t="s">
        <v>738</v>
      </c>
      <c r="L167" s="11" t="s">
        <v>776</v>
      </c>
      <c r="M167" t="s">
        <v>613</v>
      </c>
      <c r="N167" t="s">
        <v>604</v>
      </c>
    </row>
    <row r="168" spans="1:14" ht="29.25" hidden="1">
      <c r="A168" t="s">
        <v>81</v>
      </c>
      <c r="B168" t="s">
        <v>137</v>
      </c>
      <c r="C168" t="s">
        <v>601</v>
      </c>
      <c r="D168" t="s">
        <v>437</v>
      </c>
      <c r="E168" t="s">
        <v>673</v>
      </c>
      <c r="J168" t="s">
        <v>775</v>
      </c>
      <c r="K168" s="11" t="s">
        <v>738</v>
      </c>
      <c r="L168" s="11" t="s">
        <v>776</v>
      </c>
      <c r="M168" t="s">
        <v>613</v>
      </c>
      <c r="N168" t="s">
        <v>604</v>
      </c>
    </row>
    <row r="169" spans="1:14" ht="29.25" hidden="1">
      <c r="A169" t="s">
        <v>81</v>
      </c>
      <c r="B169" t="s">
        <v>137</v>
      </c>
      <c r="C169" t="s">
        <v>601</v>
      </c>
      <c r="D169" t="s">
        <v>527</v>
      </c>
      <c r="E169" t="s">
        <v>655</v>
      </c>
      <c r="J169" t="s">
        <v>755</v>
      </c>
      <c r="K169" s="11" t="s">
        <v>738</v>
      </c>
      <c r="L169" t="s">
        <v>777</v>
      </c>
      <c r="M169" t="s">
        <v>613</v>
      </c>
      <c r="N169" t="s">
        <v>604</v>
      </c>
    </row>
    <row r="170" spans="1:14" hidden="1">
      <c r="A170" t="s">
        <v>81</v>
      </c>
      <c r="B170" t="s">
        <v>245</v>
      </c>
      <c r="C170" t="s">
        <v>601</v>
      </c>
      <c r="D170" t="s">
        <v>62</v>
      </c>
      <c r="E170" t="s">
        <v>655</v>
      </c>
      <c r="F170" s="11"/>
      <c r="G170" s="11"/>
      <c r="H170" s="11"/>
      <c r="I170" s="11"/>
      <c r="J170" t="s">
        <v>778</v>
      </c>
      <c r="N170" t="s">
        <v>685</v>
      </c>
    </row>
    <row r="171" spans="1:14" hidden="1">
      <c r="A171" t="s">
        <v>81</v>
      </c>
      <c r="B171" t="s">
        <v>245</v>
      </c>
      <c r="C171" t="s">
        <v>601</v>
      </c>
      <c r="D171" t="s">
        <v>69</v>
      </c>
      <c r="E171" t="s">
        <v>655</v>
      </c>
      <c r="J171" t="s">
        <v>778</v>
      </c>
      <c r="N171" t="s">
        <v>685</v>
      </c>
    </row>
    <row r="172" spans="1:14" hidden="1">
      <c r="A172" t="s">
        <v>81</v>
      </c>
      <c r="B172" t="s">
        <v>245</v>
      </c>
      <c r="C172" t="s">
        <v>601</v>
      </c>
      <c r="D172" t="s">
        <v>244</v>
      </c>
      <c r="E172" t="s">
        <v>655</v>
      </c>
      <c r="J172" t="s">
        <v>778</v>
      </c>
      <c r="N172" t="s">
        <v>685</v>
      </c>
    </row>
    <row r="173" spans="1:14" hidden="1">
      <c r="A173" t="s">
        <v>81</v>
      </c>
      <c r="B173" t="s">
        <v>245</v>
      </c>
      <c r="C173" t="s">
        <v>601</v>
      </c>
      <c r="D173" t="s">
        <v>349</v>
      </c>
      <c r="E173" t="s">
        <v>655</v>
      </c>
      <c r="J173" t="s">
        <v>778</v>
      </c>
      <c r="N173" t="s">
        <v>685</v>
      </c>
    </row>
    <row r="174" spans="1:14" hidden="1">
      <c r="A174" t="s">
        <v>81</v>
      </c>
      <c r="B174" t="s">
        <v>245</v>
      </c>
      <c r="C174" t="s">
        <v>601</v>
      </c>
      <c r="D174" t="s">
        <v>438</v>
      </c>
      <c r="E174" t="s">
        <v>655</v>
      </c>
      <c r="J174" t="s">
        <v>778</v>
      </c>
      <c r="N174" t="s">
        <v>685</v>
      </c>
    </row>
    <row r="175" spans="1:14" hidden="1">
      <c r="A175" t="s">
        <v>81</v>
      </c>
      <c r="B175" t="s">
        <v>245</v>
      </c>
      <c r="C175" t="s">
        <v>601</v>
      </c>
      <c r="D175" t="s">
        <v>531</v>
      </c>
      <c r="E175" t="s">
        <v>655</v>
      </c>
      <c r="J175" t="s">
        <v>778</v>
      </c>
      <c r="N175" t="s">
        <v>685</v>
      </c>
    </row>
    <row r="176" spans="1:14" ht="43.5" hidden="1">
      <c r="A176" t="s">
        <v>81</v>
      </c>
      <c r="B176" t="s">
        <v>353</v>
      </c>
      <c r="C176" t="s">
        <v>641</v>
      </c>
      <c r="D176" t="s">
        <v>23</v>
      </c>
      <c r="E176" t="s">
        <v>602</v>
      </c>
      <c r="F176" s="3" t="s">
        <v>26</v>
      </c>
      <c r="G176" s="3" t="s">
        <v>27</v>
      </c>
      <c r="H176" s="3"/>
      <c r="I176" s="3"/>
      <c r="J176" s="4" t="s">
        <v>28</v>
      </c>
      <c r="N176" t="s">
        <v>604</v>
      </c>
    </row>
    <row r="177" spans="1:14" ht="43.5" hidden="1">
      <c r="A177" t="s">
        <v>81</v>
      </c>
      <c r="B177" t="s">
        <v>353</v>
      </c>
      <c r="C177" t="s">
        <v>641</v>
      </c>
      <c r="D177" t="s">
        <v>140</v>
      </c>
      <c r="E177" t="s">
        <v>779</v>
      </c>
      <c r="F177" s="11" t="s">
        <v>780</v>
      </c>
      <c r="G177" s="11" t="s">
        <v>781</v>
      </c>
      <c r="H177" s="11"/>
      <c r="I177" s="11"/>
      <c r="J177" s="11" t="s">
        <v>782</v>
      </c>
      <c r="L177" t="s">
        <v>783</v>
      </c>
      <c r="M177" t="s">
        <v>619</v>
      </c>
      <c r="N177" t="s">
        <v>604</v>
      </c>
    </row>
    <row r="178" spans="1:14" hidden="1">
      <c r="A178" t="s">
        <v>81</v>
      </c>
      <c r="B178" t="s">
        <v>353</v>
      </c>
      <c r="C178" t="s">
        <v>641</v>
      </c>
      <c r="D178" t="s">
        <v>111</v>
      </c>
      <c r="E178" t="s">
        <v>602</v>
      </c>
      <c r="F178" t="s">
        <v>71</v>
      </c>
      <c r="G178" t="s">
        <v>113</v>
      </c>
      <c r="N178" t="s">
        <v>604</v>
      </c>
    </row>
    <row r="179" spans="1:14" hidden="1">
      <c r="A179" t="s">
        <v>81</v>
      </c>
      <c r="B179" t="s">
        <v>353</v>
      </c>
      <c r="C179" t="s">
        <v>641</v>
      </c>
      <c r="D179" t="s">
        <v>352</v>
      </c>
      <c r="E179" t="s">
        <v>602</v>
      </c>
      <c r="F179" t="s">
        <v>210</v>
      </c>
      <c r="G179" t="s">
        <v>211</v>
      </c>
      <c r="J179" t="s">
        <v>212</v>
      </c>
      <c r="N179" t="s">
        <v>604</v>
      </c>
    </row>
    <row r="180" spans="1:14" ht="29.25" hidden="1">
      <c r="A180" t="s">
        <v>81</v>
      </c>
      <c r="B180" t="s">
        <v>353</v>
      </c>
      <c r="C180" t="s">
        <v>641</v>
      </c>
      <c r="D180" t="s">
        <v>440</v>
      </c>
      <c r="E180" t="s">
        <v>602</v>
      </c>
      <c r="F180" t="s">
        <v>441</v>
      </c>
      <c r="G180" t="s">
        <v>442</v>
      </c>
      <c r="J180" s="11" t="s">
        <v>443</v>
      </c>
      <c r="N180" t="s">
        <v>604</v>
      </c>
    </row>
    <row r="181" spans="1:14" hidden="1">
      <c r="A181" t="s">
        <v>81</v>
      </c>
      <c r="B181" t="s">
        <v>82</v>
      </c>
      <c r="C181" t="s">
        <v>641</v>
      </c>
      <c r="D181" t="s">
        <v>80</v>
      </c>
      <c r="E181" t="s">
        <v>602</v>
      </c>
      <c r="F181" t="s">
        <v>83</v>
      </c>
      <c r="G181" t="s">
        <v>84</v>
      </c>
      <c r="N181" t="s">
        <v>604</v>
      </c>
    </row>
    <row r="182" spans="1:14" ht="57.75" hidden="1">
      <c r="A182" t="s">
        <v>81</v>
      </c>
      <c r="B182" t="s">
        <v>82</v>
      </c>
      <c r="C182" t="s">
        <v>641</v>
      </c>
      <c r="D182" t="s">
        <v>148</v>
      </c>
      <c r="E182" t="s">
        <v>602</v>
      </c>
      <c r="F182" s="11" t="s">
        <v>533</v>
      </c>
      <c r="G182" s="11" t="s">
        <v>784</v>
      </c>
      <c r="H182" s="11"/>
      <c r="I182" s="11"/>
      <c r="J182" s="11" t="s">
        <v>785</v>
      </c>
      <c r="N182" t="s">
        <v>604</v>
      </c>
    </row>
    <row r="183" spans="1:14" ht="57.75" hidden="1">
      <c r="A183" t="s">
        <v>81</v>
      </c>
      <c r="B183" t="s">
        <v>82</v>
      </c>
      <c r="C183" t="s">
        <v>641</v>
      </c>
      <c r="D183" t="s">
        <v>45</v>
      </c>
      <c r="E183" t="s">
        <v>615</v>
      </c>
      <c r="F183" s="11"/>
      <c r="J183" t="s">
        <v>626</v>
      </c>
      <c r="K183" t="s">
        <v>627</v>
      </c>
      <c r="L183" s="11" t="s">
        <v>786</v>
      </c>
      <c r="M183" t="s">
        <v>619</v>
      </c>
      <c r="N183" t="s">
        <v>604</v>
      </c>
    </row>
    <row r="184" spans="1:14" hidden="1">
      <c r="A184" t="s">
        <v>81</v>
      </c>
      <c r="B184" t="s">
        <v>82</v>
      </c>
      <c r="C184" t="s">
        <v>641</v>
      </c>
      <c r="D184" t="s">
        <v>354</v>
      </c>
      <c r="E184" t="s">
        <v>602</v>
      </c>
      <c r="F184" t="s">
        <v>116</v>
      </c>
      <c r="G184" t="s">
        <v>355</v>
      </c>
      <c r="J184" t="s">
        <v>356</v>
      </c>
      <c r="N184" t="s">
        <v>604</v>
      </c>
    </row>
    <row r="185" spans="1:14" hidden="1">
      <c r="A185" t="s">
        <v>81</v>
      </c>
      <c r="B185" t="s">
        <v>82</v>
      </c>
      <c r="C185" t="s">
        <v>641</v>
      </c>
      <c r="D185" t="s">
        <v>447</v>
      </c>
      <c r="E185" t="s">
        <v>602</v>
      </c>
      <c r="F185" t="s">
        <v>448</v>
      </c>
      <c r="G185" t="s">
        <v>449</v>
      </c>
      <c r="J185" t="s">
        <v>787</v>
      </c>
      <c r="N185" t="s">
        <v>604</v>
      </c>
    </row>
    <row r="186" spans="1:14" ht="29.25" hidden="1">
      <c r="A186" t="s">
        <v>81</v>
      </c>
      <c r="B186" t="s">
        <v>82</v>
      </c>
      <c r="C186" t="s">
        <v>641</v>
      </c>
      <c r="D186" t="s">
        <v>788</v>
      </c>
      <c r="E186" t="s">
        <v>602</v>
      </c>
      <c r="F186" s="4" t="s">
        <v>279</v>
      </c>
      <c r="G186" s="3" t="s">
        <v>502</v>
      </c>
      <c r="N186" t="s">
        <v>604</v>
      </c>
    </row>
    <row r="187" spans="1:14" hidden="1">
      <c r="A187" t="s">
        <v>81</v>
      </c>
      <c r="B187" t="s">
        <v>82</v>
      </c>
      <c r="C187" t="s">
        <v>641</v>
      </c>
      <c r="D187" t="s">
        <v>559</v>
      </c>
      <c r="E187" t="s">
        <v>602</v>
      </c>
      <c r="F187" t="s">
        <v>421</v>
      </c>
      <c r="G187" t="s">
        <v>560</v>
      </c>
      <c r="N187" t="s">
        <v>604</v>
      </c>
    </row>
    <row r="188" spans="1:14" hidden="1">
      <c r="A188" t="s">
        <v>81</v>
      </c>
      <c r="B188" t="s">
        <v>82</v>
      </c>
      <c r="C188" t="s">
        <v>641</v>
      </c>
      <c r="D188" t="s">
        <v>387</v>
      </c>
      <c r="E188" t="s">
        <v>615</v>
      </c>
      <c r="K188" t="s">
        <v>627</v>
      </c>
      <c r="L188" t="s">
        <v>789</v>
      </c>
      <c r="M188" t="s">
        <v>619</v>
      </c>
      <c r="N188" t="s">
        <v>604</v>
      </c>
    </row>
    <row r="189" spans="1:14" hidden="1">
      <c r="A189" t="s">
        <v>81</v>
      </c>
      <c r="B189" t="s">
        <v>86</v>
      </c>
      <c r="C189" t="s">
        <v>662</v>
      </c>
      <c r="D189" t="s">
        <v>85</v>
      </c>
      <c r="E189" t="s">
        <v>602</v>
      </c>
      <c r="F189" t="s">
        <v>87</v>
      </c>
      <c r="G189" t="s">
        <v>88</v>
      </c>
      <c r="N189" t="s">
        <v>604</v>
      </c>
    </row>
    <row r="190" spans="1:14" ht="57.75" hidden="1">
      <c r="A190" t="s">
        <v>81</v>
      </c>
      <c r="B190" t="s">
        <v>86</v>
      </c>
      <c r="C190" t="s">
        <v>662</v>
      </c>
      <c r="D190" t="s">
        <v>23</v>
      </c>
      <c r="E190" t="s">
        <v>602</v>
      </c>
      <c r="F190" s="3" t="s">
        <v>26</v>
      </c>
      <c r="G190" s="3" t="s">
        <v>27</v>
      </c>
      <c r="H190" s="3"/>
      <c r="I190" s="3"/>
      <c r="J190" s="4" t="s">
        <v>28</v>
      </c>
      <c r="N190" t="s">
        <v>604</v>
      </c>
    </row>
    <row r="191" spans="1:14" hidden="1">
      <c r="A191" t="s">
        <v>81</v>
      </c>
      <c r="B191" t="s">
        <v>86</v>
      </c>
      <c r="C191" t="s">
        <v>662</v>
      </c>
      <c r="D191" t="s">
        <v>69</v>
      </c>
      <c r="E191" t="s">
        <v>602</v>
      </c>
      <c r="F191" t="s">
        <v>750</v>
      </c>
      <c r="G191" t="s">
        <v>72</v>
      </c>
      <c r="N191" t="s">
        <v>604</v>
      </c>
    </row>
    <row r="192" spans="1:14" ht="29.25" hidden="1">
      <c r="A192" t="s">
        <v>81</v>
      </c>
      <c r="B192" t="s">
        <v>86</v>
      </c>
      <c r="C192" t="s">
        <v>662</v>
      </c>
      <c r="D192" t="s">
        <v>358</v>
      </c>
      <c r="E192" t="s">
        <v>602</v>
      </c>
      <c r="F192" t="s">
        <v>195</v>
      </c>
      <c r="G192" s="11" t="s">
        <v>359</v>
      </c>
      <c r="H192" s="11"/>
      <c r="I192" s="11"/>
      <c r="J192" t="s">
        <v>360</v>
      </c>
      <c r="N192" t="s">
        <v>604</v>
      </c>
    </row>
    <row r="193" spans="1:14" ht="29.25" hidden="1">
      <c r="A193" t="s">
        <v>81</v>
      </c>
      <c r="B193" t="s">
        <v>86</v>
      </c>
      <c r="C193" t="s">
        <v>662</v>
      </c>
      <c r="D193" t="s">
        <v>451</v>
      </c>
      <c r="E193" t="s">
        <v>602</v>
      </c>
      <c r="F193" t="s">
        <v>195</v>
      </c>
      <c r="G193" s="11" t="s">
        <v>359</v>
      </c>
      <c r="H193" s="11"/>
      <c r="I193" s="11"/>
      <c r="J193" t="s">
        <v>452</v>
      </c>
      <c r="N193" t="s">
        <v>604</v>
      </c>
    </row>
    <row r="194" spans="1:14" hidden="1">
      <c r="A194" t="s">
        <v>81</v>
      </c>
      <c r="B194" t="s">
        <v>86</v>
      </c>
      <c r="C194" t="s">
        <v>662</v>
      </c>
      <c r="D194" t="s">
        <v>532</v>
      </c>
      <c r="E194" t="s">
        <v>602</v>
      </c>
      <c r="F194" t="s">
        <v>533</v>
      </c>
      <c r="G194" t="s">
        <v>534</v>
      </c>
      <c r="N194" t="s">
        <v>604</v>
      </c>
    </row>
    <row r="195" spans="1:14" ht="57.75" hidden="1">
      <c r="A195" t="s">
        <v>81</v>
      </c>
      <c r="B195" t="s">
        <v>363</v>
      </c>
      <c r="C195" t="s">
        <v>662</v>
      </c>
      <c r="D195" t="s">
        <v>23</v>
      </c>
      <c r="E195" t="s">
        <v>602</v>
      </c>
      <c r="F195" s="3" t="s">
        <v>26</v>
      </c>
      <c r="G195" s="3" t="s">
        <v>27</v>
      </c>
      <c r="H195" s="3"/>
      <c r="I195" s="3"/>
      <c r="J195" s="4" t="s">
        <v>28</v>
      </c>
      <c r="N195" t="s">
        <v>604</v>
      </c>
    </row>
    <row r="196" spans="1:14" hidden="1">
      <c r="A196" t="s">
        <v>81</v>
      </c>
      <c r="B196" t="s">
        <v>363</v>
      </c>
      <c r="C196" t="s">
        <v>662</v>
      </c>
      <c r="D196" t="s">
        <v>34</v>
      </c>
      <c r="E196" t="s">
        <v>602</v>
      </c>
      <c r="F196" t="s">
        <v>36</v>
      </c>
      <c r="G196" t="s">
        <v>34</v>
      </c>
      <c r="N196" t="s">
        <v>604</v>
      </c>
    </row>
    <row r="197" spans="1:14" ht="43.5" hidden="1">
      <c r="A197" t="s">
        <v>81</v>
      </c>
      <c r="B197" t="s">
        <v>363</v>
      </c>
      <c r="C197" t="s">
        <v>662</v>
      </c>
      <c r="D197" t="s">
        <v>104</v>
      </c>
      <c r="E197" t="s">
        <v>602</v>
      </c>
      <c r="F197" s="11" t="s">
        <v>790</v>
      </c>
      <c r="G197" s="11" t="s">
        <v>791</v>
      </c>
      <c r="H197" s="11"/>
      <c r="I197" s="11"/>
      <c r="J197" t="s">
        <v>792</v>
      </c>
      <c r="N197" t="s">
        <v>604</v>
      </c>
    </row>
    <row r="198" spans="1:14" ht="189.75" hidden="1" customHeight="1">
      <c r="A198" t="s">
        <v>81</v>
      </c>
      <c r="B198" s="10" t="s">
        <v>363</v>
      </c>
      <c r="C198" s="10" t="s">
        <v>662</v>
      </c>
      <c r="D198" s="10" t="s">
        <v>362</v>
      </c>
      <c r="E198" s="10" t="s">
        <v>615</v>
      </c>
      <c r="F198" s="10"/>
      <c r="G198" s="10"/>
      <c r="H198" s="10"/>
      <c r="I198" s="10"/>
      <c r="J198" s="13" t="s">
        <v>793</v>
      </c>
      <c r="K198" s="10"/>
      <c r="L198" s="13" t="s">
        <v>746</v>
      </c>
      <c r="M198" s="10" t="s">
        <v>619</v>
      </c>
      <c r="N198" t="s">
        <v>604</v>
      </c>
    </row>
    <row r="199" spans="1:14" ht="189.75" hidden="1" customHeight="1">
      <c r="A199" t="s">
        <v>81</v>
      </c>
      <c r="B199" s="10" t="s">
        <v>363</v>
      </c>
      <c r="C199" s="10" t="s">
        <v>662</v>
      </c>
      <c r="D199" s="10" t="s">
        <v>454</v>
      </c>
      <c r="E199" s="10" t="s">
        <v>615</v>
      </c>
      <c r="F199" s="10"/>
      <c r="G199" s="10"/>
      <c r="H199" s="10"/>
      <c r="I199" s="10"/>
      <c r="J199" s="13" t="s">
        <v>793</v>
      </c>
      <c r="K199" s="10"/>
      <c r="L199" s="13" t="s">
        <v>746</v>
      </c>
      <c r="M199" s="10" t="s">
        <v>619</v>
      </c>
      <c r="N199" t="s">
        <v>604</v>
      </c>
    </row>
    <row r="200" spans="1:14" hidden="1">
      <c r="A200" t="s">
        <v>81</v>
      </c>
      <c r="B200" t="s">
        <v>363</v>
      </c>
      <c r="C200" t="s">
        <v>662</v>
      </c>
      <c r="D200" t="s">
        <v>536</v>
      </c>
      <c r="E200" t="s">
        <v>673</v>
      </c>
      <c r="J200" s="11" t="s">
        <v>794</v>
      </c>
      <c r="L200" t="s">
        <v>795</v>
      </c>
      <c r="M200" t="s">
        <v>619</v>
      </c>
      <c r="N200" t="s">
        <v>604</v>
      </c>
    </row>
    <row r="201" spans="1:14" hidden="1">
      <c r="A201" t="s">
        <v>81</v>
      </c>
      <c r="B201" t="s">
        <v>363</v>
      </c>
      <c r="C201" t="s">
        <v>662</v>
      </c>
      <c r="D201" t="s">
        <v>555</v>
      </c>
      <c r="E201" t="s">
        <v>673</v>
      </c>
      <c r="J201" t="s">
        <v>796</v>
      </c>
      <c r="L201" t="s">
        <v>795</v>
      </c>
      <c r="M201" t="s">
        <v>619</v>
      </c>
      <c r="N201" t="s">
        <v>604</v>
      </c>
    </row>
    <row r="202" spans="1:14" hidden="1">
      <c r="A202" t="s">
        <v>81</v>
      </c>
      <c r="B202" t="s">
        <v>250</v>
      </c>
      <c r="C202" t="s">
        <v>662</v>
      </c>
      <c r="D202" t="s">
        <v>23</v>
      </c>
      <c r="E202" t="s">
        <v>655</v>
      </c>
      <c r="F202" s="3"/>
      <c r="G202" s="3"/>
      <c r="H202" s="3"/>
      <c r="I202" s="3"/>
      <c r="J202" t="s">
        <v>9</v>
      </c>
      <c r="N202" t="s">
        <v>685</v>
      </c>
    </row>
    <row r="203" spans="1:14" hidden="1">
      <c r="A203" t="s">
        <v>81</v>
      </c>
      <c r="B203" t="s">
        <v>250</v>
      </c>
      <c r="C203" t="s">
        <v>662</v>
      </c>
      <c r="D203" t="s">
        <v>130</v>
      </c>
      <c r="E203" t="s">
        <v>655</v>
      </c>
      <c r="J203" t="s">
        <v>9</v>
      </c>
      <c r="N203" t="s">
        <v>685</v>
      </c>
    </row>
    <row r="204" spans="1:14" hidden="1">
      <c r="A204" t="s">
        <v>81</v>
      </c>
      <c r="B204" t="s">
        <v>250</v>
      </c>
      <c r="C204" t="s">
        <v>662</v>
      </c>
      <c r="D204" t="s">
        <v>249</v>
      </c>
      <c r="E204" t="s">
        <v>655</v>
      </c>
      <c r="J204" t="s">
        <v>9</v>
      </c>
      <c r="N204" t="s">
        <v>685</v>
      </c>
    </row>
    <row r="205" spans="1:14" hidden="1">
      <c r="A205" t="s">
        <v>81</v>
      </c>
      <c r="B205" t="s">
        <v>250</v>
      </c>
      <c r="C205" t="s">
        <v>662</v>
      </c>
      <c r="D205" t="s">
        <v>367</v>
      </c>
      <c r="E205" t="s">
        <v>655</v>
      </c>
      <c r="J205" t="s">
        <v>9</v>
      </c>
      <c r="N205" t="s">
        <v>685</v>
      </c>
    </row>
    <row r="206" spans="1:14" hidden="1">
      <c r="A206" t="s">
        <v>81</v>
      </c>
      <c r="B206" t="s">
        <v>250</v>
      </c>
      <c r="C206" t="s">
        <v>662</v>
      </c>
      <c r="D206" t="s">
        <v>457</v>
      </c>
      <c r="E206" t="s">
        <v>655</v>
      </c>
      <c r="J206" t="s">
        <v>9</v>
      </c>
      <c r="N206" t="s">
        <v>685</v>
      </c>
    </row>
    <row r="207" spans="1:14" hidden="1">
      <c r="A207" t="s">
        <v>81</v>
      </c>
      <c r="B207" t="s">
        <v>250</v>
      </c>
      <c r="C207" t="s">
        <v>662</v>
      </c>
      <c r="D207" t="s">
        <v>540</v>
      </c>
      <c r="E207" t="s">
        <v>655</v>
      </c>
      <c r="J207" t="s">
        <v>9</v>
      </c>
      <c r="N207" t="s">
        <v>685</v>
      </c>
    </row>
  </sheetData>
  <autoFilter ref="A1:N207" xr:uid="{5F494B44-EC8D-459A-A6A4-2CFEFE973D80}">
    <filterColumn colId="1">
      <filters>
        <filter val="S1 - #4 Inventory holding cost norms"/>
        <filter val="S1 - #5 Store tier / cluster master"/>
        <filter val="S1 - #6 DC-to-store network mapping"/>
        <filter val="S1 - #7 Historical delivery frequency actuals"/>
      </filters>
    </filterColumn>
    <filterColumn colId="13">
      <filters>
        <filter val="Mukul"/>
      </filters>
    </filterColumn>
  </autoFilter>
  <hyperlinks>
    <hyperlink ref="H102" r:id="rId1" xr:uid="{D721DB0C-4B10-4D18-9EA1-9F4A440B7792}"/>
    <hyperlink ref="H103" r:id="rId2" xr:uid="{FC044826-2E11-455E-A0F5-5329B6A5D1CA}"/>
    <hyperlink ref="H104" r:id="rId3" xr:uid="{2233362C-24CB-4066-A399-C91DA9DEDF76}"/>
    <hyperlink ref="H107" r:id="rId4" xr:uid="{447B3733-5281-4071-85A3-569865460B0B}"/>
    <hyperlink ref="H51" r:id="rId5" location="search=promo%20calendar" xr:uid="{F6B5DF58-4A34-4118-92B7-5AF84A7812B6}"/>
    <hyperlink ref="H52" r:id="rId6" location="search=promo%20calendar" xr:uid="{D6ACBC4A-EC0B-45E6-890B-2153D1ABA685}"/>
    <hyperlink ref="H53" r:id="rId7" location="search=promo%20calendar" xr:uid="{939156A0-0184-4371-92E9-07A3C20B453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8B7E-C7AE-4658-80AE-2524EBA919B5}">
  <dimension ref="A1:B18"/>
  <sheetViews>
    <sheetView topLeftCell="A12" workbookViewId="0">
      <selection activeCell="A15" sqref="A15"/>
    </sheetView>
  </sheetViews>
  <sheetFormatPr defaultRowHeight="15"/>
  <cols>
    <col min="1" max="1" width="82" bestFit="1" customWidth="1"/>
    <col min="2" max="2" width="36.5703125" customWidth="1"/>
  </cols>
  <sheetData>
    <row r="1" spans="1:2">
      <c r="A1" s="82" t="s">
        <v>797</v>
      </c>
      <c r="B1" s="82" t="s">
        <v>798</v>
      </c>
    </row>
    <row r="2" spans="1:2" ht="57.75">
      <c r="A2" s="13" t="s">
        <v>799</v>
      </c>
      <c r="B2" s="10" t="s">
        <v>800</v>
      </c>
    </row>
    <row r="3" spans="1:2" ht="29.25">
      <c r="A3" s="11" t="s">
        <v>801</v>
      </c>
      <c r="B3" s="11" t="s">
        <v>802</v>
      </c>
    </row>
    <row r="4" spans="1:2" ht="101.25">
      <c r="A4" s="10" t="s">
        <v>803</v>
      </c>
      <c r="B4" s="13" t="s">
        <v>804</v>
      </c>
    </row>
    <row r="5" spans="1:2" ht="29.25">
      <c r="A5" s="13" t="s">
        <v>805</v>
      </c>
      <c r="B5" s="10" t="s">
        <v>806</v>
      </c>
    </row>
    <row r="6" spans="1:2">
      <c r="A6" t="s">
        <v>807</v>
      </c>
      <c r="B6" t="s">
        <v>164</v>
      </c>
    </row>
    <row r="7" spans="1:2" ht="29.25">
      <c r="A7" s="11" t="s">
        <v>808</v>
      </c>
      <c r="B7" t="s">
        <v>164</v>
      </c>
    </row>
    <row r="8" spans="1:2">
      <c r="A8" t="s">
        <v>809</v>
      </c>
      <c r="B8" t="s">
        <v>164</v>
      </c>
    </row>
    <row r="9" spans="1:2" ht="57.75">
      <c r="A9" s="11" t="s">
        <v>810</v>
      </c>
      <c r="B9" s="11" t="s">
        <v>811</v>
      </c>
    </row>
    <row r="10" spans="1:2" ht="57.75">
      <c r="A10" s="13" t="s">
        <v>812</v>
      </c>
      <c r="B10" s="13" t="s">
        <v>813</v>
      </c>
    </row>
    <row r="11" spans="1:2" ht="57.75">
      <c r="A11" s="13" t="s">
        <v>814</v>
      </c>
      <c r="B11" s="13" t="s">
        <v>397</v>
      </c>
    </row>
    <row r="12" spans="1:2" ht="72.75">
      <c r="A12" s="11" t="s">
        <v>815</v>
      </c>
      <c r="B12" s="11" t="s">
        <v>816</v>
      </c>
    </row>
    <row r="13" spans="1:2" ht="29.25">
      <c r="A13" s="11" t="s">
        <v>817</v>
      </c>
      <c r="B13" s="11" t="s">
        <v>203</v>
      </c>
    </row>
    <row r="14" spans="1:2" ht="57.75">
      <c r="A14" s="13" t="s">
        <v>818</v>
      </c>
      <c r="B14" s="13" t="s">
        <v>819</v>
      </c>
    </row>
    <row r="15" spans="1:2" ht="43.5">
      <c r="A15" s="78" t="s">
        <v>820</v>
      </c>
      <c r="B15" s="11" t="s">
        <v>119</v>
      </c>
    </row>
    <row r="16" spans="1:2" ht="57.75">
      <c r="A16" s="13" t="s">
        <v>821</v>
      </c>
      <c r="B16" s="13" t="s">
        <v>822</v>
      </c>
    </row>
    <row r="17" spans="1:2" ht="43.5">
      <c r="A17" s="13" t="s">
        <v>823</v>
      </c>
      <c r="B17" s="13" t="s">
        <v>236</v>
      </c>
    </row>
    <row r="18" spans="1:2" ht="43.5">
      <c r="A18" s="11" t="s">
        <v>824</v>
      </c>
      <c r="B18" s="11" t="s">
        <v>825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6F50F0EB81144A876424608CA34514" ma:contentTypeVersion="7" ma:contentTypeDescription="Create a new document." ma:contentTypeScope="" ma:versionID="8ff179a4dc0c6581fdfefb8a24268492">
  <xsd:schema xmlns:xsd="http://www.w3.org/2001/XMLSchema" xmlns:xs="http://www.w3.org/2001/XMLSchema" xmlns:p="http://schemas.microsoft.com/office/2006/metadata/properties" xmlns:ns2="4715ec20-1038-449f-b353-18f051350db0" targetNamespace="http://schemas.microsoft.com/office/2006/metadata/properties" ma:root="true" ma:fieldsID="a287a79079d441ddd701a938e7fd72d8" ns2:_="">
    <xsd:import namespace="4715ec20-1038-449f-b353-18f051350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15ec20-1038-449f-b353-18f051350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946E48-5382-4EE0-BDD4-A262ABFD24BF}"/>
</file>

<file path=customXml/itemProps2.xml><?xml version="1.0" encoding="utf-8"?>
<ds:datastoreItem xmlns:ds="http://schemas.openxmlformats.org/officeDocument/2006/customXml" ds:itemID="{94D54724-7235-4CC5-A056-8C9BB855527E}"/>
</file>

<file path=customXml/itemProps3.xml><?xml version="1.0" encoding="utf-8"?>
<ds:datastoreItem xmlns:ds="http://schemas.openxmlformats.org/officeDocument/2006/customXml" ds:itemID="{4F3FA985-1A4B-4A6D-B76B-EA119ECC00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Adalberto Cubillo</dc:creator>
  <cp:keywords/>
  <dc:description/>
  <cp:lastModifiedBy>Mukul Marshettiwar</cp:lastModifiedBy>
  <cp:revision/>
  <dcterms:created xsi:type="dcterms:W3CDTF">2026-05-28T17:31:24Z</dcterms:created>
  <dcterms:modified xsi:type="dcterms:W3CDTF">2026-07-19T14:27:16Z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0x010100746F50F0EB81144A876424608CA34514</vt:lpwstr>
  </property>
</Properties>
</file>